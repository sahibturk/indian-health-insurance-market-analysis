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6_Executive_Summary" sheetId="1" state="visible" r:id="rId3"/>
    <sheet name="01_Data_Audit" sheetId="2" state="visible" r:id="rId4"/>
    <sheet name="02_Data_Cleaning" sheetId="3" state="visible" r:id="rId5"/>
    <sheet name="03_Exploratory_Analysis" sheetId="4" state="visible" r:id="rId6"/>
    <sheet name="04_Metrics_&amp;_Scoring" sheetId="5" state="visible" r:id="rId7"/>
    <sheet name="05_Charts_&amp;_Insigh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<sst xmlns="http://schemas.openxmlformats.org/spreadsheetml/2006/main" count="716" uniqueCount="446">
  <si>
    <t xml:space="preserve">EXECUTIVE SUMMARY</t>
  </si>
  <si>
    <t xml:space="preserve">Indian Health Insurance Market  |  IRDAI Handbook FY 2021-22  |  Principal Analytics Review</t>
  </si>
  <si>
    <t xml:space="preserve">▶  BUSINESS OBJECTIVE: Assess market structure, growth dynamics, insurer performance, and geographic distribution of Indian health insurance to support strategic entry, expansion, or portfolio decisions.</t>
  </si>
  <si>
    <t xml:space="preserve">KEY MARKET METRICS — FY 2021-22</t>
  </si>
  <si>
    <t xml:space="preserve">₹73,052 Cr</t>
  </si>
  <si>
    <t xml:space="preserve">22.6 Million</t>
  </si>
  <si>
    <t xml:space="preserve">520 Million</t>
  </si>
  <si>
    <t xml:space="preserve">Total Gross Premium</t>
  </si>
  <si>
    <t xml:space="preserve">Policies Issued</t>
  </si>
  <si>
    <t xml:space="preserve">Persons Covered</t>
  </si>
  <si>
    <t xml:space="preserve">19.5%</t>
  </si>
  <si>
    <t xml:space="preserve">1.09</t>
  </si>
  <si>
    <t xml:space="preserve">31.9%</t>
  </si>
  <si>
    <t xml:space="preserve">Premium CAGR (9-Year)</t>
  </si>
  <si>
    <t xml:space="preserve">Industry ICR FY22</t>
  </si>
  <si>
    <t xml:space="preserve">Maharashtra Share</t>
  </si>
  <si>
    <t xml:space="preserve">1.  MARKET STRUCTURE</t>
  </si>
  <si>
    <t xml:space="preserve">PSU Insurers</t>
  </si>
  <si>
    <t xml:space="preserve">₹32,943 Cr</t>
  </si>
  <si>
    <t xml:space="preserve">45.1%</t>
  </si>
  <si>
    <t xml:space="preserve">1.26</t>
  </si>
  <si>
    <t xml:space="preserve">Declining share (62.0%→45.1%); structural ICR &gt;1.0 for 8+ years</t>
  </si>
  <si>
    <t xml:space="preserve">Private General</t>
  </si>
  <si>
    <t xml:space="preserve">₹20,107 Cr</t>
  </si>
  <si>
    <t xml:space="preserve">27.5%</t>
  </si>
  <si>
    <t xml:space="preserve">1.05</t>
  </si>
  <si>
    <t xml:space="preserve">Recovering from 2015-16 market share trough; Tata AIG fastest grower</t>
  </si>
  <si>
    <t xml:space="preserve">SAHI (Health-Only)</t>
  </si>
  <si>
    <t xml:space="preserve">₹20,001 Cr</t>
  </si>
  <si>
    <t xml:space="preserve">27.4%</t>
  </si>
  <si>
    <t xml:space="preserve">0.81</t>
  </si>
  <si>
    <t xml:space="preserve">Fastest CAGR; best ICR; converging with Private on premium size</t>
  </si>
  <si>
    <t xml:space="preserve">2.  TOP INSURERS BY PREMIUM — FY 2021-22</t>
  </si>
  <si>
    <t xml:space="preserve">Insurer</t>
  </si>
  <si>
    <t xml:space="preserve">Cat</t>
  </si>
  <si>
    <t xml:space="preserve">Premium</t>
  </si>
  <si>
    <t xml:space="preserve">Mkt Share</t>
  </si>
  <si>
    <t xml:space="preserve">ICR</t>
  </si>
  <si>
    <t xml:space="preserve">Signal</t>
  </si>
  <si>
    <t xml:space="preserve">New India Assurance</t>
  </si>
  <si>
    <t xml:space="preserve">PSU</t>
  </si>
  <si>
    <t xml:space="preserve">₹14,428 Cr</t>
  </si>
  <si>
    <t xml:space="preserve">19.8%</t>
  </si>
  <si>
    <t xml:space="preserve">⚠ Highest absolute claims</t>
  </si>
  <si>
    <t xml:space="preserve">Star Health</t>
  </si>
  <si>
    <t xml:space="preserve">SAHI</t>
  </si>
  <si>
    <t xml:space="preserve">₹11,294 Cr</t>
  </si>
  <si>
    <t xml:space="preserve">15.5%</t>
  </si>
  <si>
    <t xml:space="preserve">✓ Dominant retail SAHI leader</t>
  </si>
  <si>
    <t xml:space="preserve">Oriental Insurance</t>
  </si>
  <si>
    <t xml:space="preserve">₹6,351 Cr</t>
  </si>
  <si>
    <t xml:space="preserve">8.7%</t>
  </si>
  <si>
    <t xml:space="preserve">⚠ Highest ICR in sector</t>
  </si>
  <si>
    <t xml:space="preserve">United India</t>
  </si>
  <si>
    <t xml:space="preserve">₹6,317 Cr</t>
  </si>
  <si>
    <t xml:space="preserve">8.6%</t>
  </si>
  <si>
    <t xml:space="preserve">⚠ ICR above 1.0</t>
  </si>
  <si>
    <t xml:space="preserve">National Insurance</t>
  </si>
  <si>
    <t xml:space="preserve">₹5,847 Cr</t>
  </si>
  <si>
    <t xml:space="preserve">8.0%</t>
  </si>
  <si>
    <t xml:space="preserve">ICICI Lombard</t>
  </si>
  <si>
    <t xml:space="preserve">Private</t>
  </si>
  <si>
    <t xml:space="preserve">₹3,487 Cr</t>
  </si>
  <si>
    <t xml:space="preserve">4.8%</t>
  </si>
  <si>
    <t xml:space="preserve">~ At Private benchmark</t>
  </si>
  <si>
    <t xml:space="preserve">Care Health</t>
  </si>
  <si>
    <t xml:space="preserve">₹3,426 Cr</t>
  </si>
  <si>
    <t xml:space="preserve">4.7%</t>
  </si>
  <si>
    <t xml:space="preserve">✓ Best ICR among scale players</t>
  </si>
  <si>
    <t xml:space="preserve">Niva Bupa</t>
  </si>
  <si>
    <t xml:space="preserve">₹2,749 Cr</t>
  </si>
  <si>
    <t xml:space="preserve">3.8%</t>
  </si>
  <si>
    <t xml:space="preserve">✓ Lowest ICR in sector</t>
  </si>
  <si>
    <t xml:space="preserve">3.  KEY FINDINGS</t>
  </si>
  <si>
    <t xml:space="preserve">F1</t>
  </si>
  <si>
    <t xml:space="preserve">Market is structurally growing</t>
  </si>
  <si>
    <t xml:space="preserve">Health insurance premium grew at 19.5% CAGR over 9 years (₹17,495 Cr → ₹73,052 Cr). Growth is durable, not cyclical — driven by rising healthcare costs, regulatory mandates, and expanding formal economy.</t>
  </si>
  <si>
    <t xml:space="preserve">HIGH</t>
  </si>
  <si>
    <t xml:space="preserve">F2</t>
  </si>
  <si>
    <t xml:space="preserve">PSU dominance is eroding</t>
  </si>
  <si>
    <t xml:space="preserve">PSU share fell from 62.0% (FY14) to 45.1% (FY22). Private + SAHI combined now represent 54.9% of market. Trajectory points to PSU dropping below 40% by FY25 without strategic repricing.</t>
  </si>
  <si>
    <t xml:space="preserve">F3</t>
  </si>
  <si>
    <t xml:space="preserve">SAHI segment is the structural winner</t>
  </si>
  <si>
    <t xml:space="preserve">SAHI achieved 32.5% CAGR while maintaining ICR below 0.85. This is the "quality growth" quadrant — both top-line momentum and underwriting discipline. Niva Bupa (ICR: 0.64) and Care Health (0.71) demonstrate that retail health insurance CAN be profitable at scale.</t>
  </si>
  <si>
    <t xml:space="preserve">F4</t>
  </si>
  <si>
    <t xml:space="preserve">Geographic concentration is a systemic risk</t>
  </si>
  <si>
    <t xml:space="preserve">Maharashtra (31.9%), Karnataka (10.7%), and Tamil Nadu (9.4%) together account for 52% of premium. 18 states/UTs each contribute &lt;0.5%. Rural India, the Northeast, and UP/Bihar are significantly under-penetrated.</t>
  </si>
  <si>
    <t xml:space="preserve">F5</t>
  </si>
  <si>
    <t xml:space="preserve">PSU ICR is a structural problem, not noise</t>
  </si>
  <si>
    <t xml:space="preserve">PSU ICR has been above 1.0 for every year in the dataset. In FY22 it reached 1.26, meaning every ₹100 of net earned premium triggered ₹126 in claims. Government Sponsored scheme under-pricing is the root cause; this will not self-correct without policy intervention.</t>
  </si>
  <si>
    <t xml:space="preserve">F6</t>
  </si>
  <si>
    <t xml:space="preserve">Star Health concentration within SAHI is a risk</t>
  </si>
  <si>
    <t xml:space="preserve">Star Health holds 56.4% of SAHI segment premium and 63.0% of SAHI policy count. While operationally sound (ICR: 0.87), the segment's health is overly dependent on one entity. Any Star Health distress would reshape the SAHI landscape dramatically.</t>
  </si>
  <si>
    <t xml:space="preserve">MEDIUM</t>
  </si>
  <si>
    <t xml:space="preserve">4.  STRATEGIC RECOMMENDATIONS</t>
  </si>
  <si>
    <t xml:space="preserve">Horizon</t>
  </si>
  <si>
    <t xml:space="preserve">Recommendation</t>
  </si>
  <si>
    <t xml:space="preserve">Expected Impact</t>
  </si>
  <si>
    <t xml:space="preserve">IMMEDIATE</t>
  </si>
  <si>
    <t xml:space="preserve">Geographic Expansion — Tier 2 States</t>
  </si>
  <si>
    <t xml:space="preserve">Prioritise UP, Rajasthan, MP and West Bengal for retail health expansion. Each has premium/person below ₹500 vs. national avg ₹1,403 — indicating severe under-penetration, not lack of demand.</t>
  </si>
  <si>
    <t xml:space="preserve">LOW</t>
  </si>
  <si>
    <t xml:space="preserve">PSU ICR Remediation Plan</t>
  </si>
  <si>
    <t xml:space="preserve">Initiate Govt Sponsored repricing negotiation with PMJAY authority (NHA). Model shows current ICR of 1.26 implies ₹747 Cr annual deficit for PSU segment in FY22 alone. Alternatively, ring-fence Govt scheme P&amp;L from commercial business for transparent reporting.</t>
  </si>
  <si>
    <t xml:space="preserve">MEDIUM-TERM</t>
  </si>
  <si>
    <t xml:space="preserve">SAHI Consolidation Play</t>
  </si>
  <si>
    <t xml:space="preserve">Monitor Care Health, ManipalCigna, and Niva Bupa for M&amp;A or partnership opportunities. These are profitable, growing, but capital-constrained. A scale combination could create a credible Star Health challenger (current gap: ₹11,294 Cr vs ₹7,162 Cr for nearest rival).</t>
  </si>
  <si>
    <t xml:space="preserve">Product Stratification — Premium vs. Accessible</t>
  </si>
  <si>
    <t xml:space="preserve">Average premium per policy has grown from ₹1,746 (FY14) to ₹3,228 (FY22) — 85% increase. This reflects premium product up-sell, not coverage expansion. Create lower-ticket, high-volume products targeting Bihar, Jharkhand, and Chhattisgarh demographics.</t>
  </si>
  <si>
    <t xml:space="preserve">STRATEGIC</t>
  </si>
  <si>
    <t xml:space="preserve">Build Predictive Claims Intelligence</t>
  </si>
  <si>
    <t xml:space="preserve">ICR trends suggest claims inflation is accelerating (Grand Total ICR worsened from 0.98 FY15 to 1.09 FY22). Invest in predictive underwriting models using regional healthcare cost data, provider network analytics (Sheet 82 data), and actuarial loss development factors.</t>
  </si>
  <si>
    <t xml:space="preserve">IRDAI Advocacy — Solvency &amp; Policyholder Protection</t>
  </si>
  <si>
    <t xml:space="preserve">PSU ICRs above 1.2 for 4+ consecutive years pose systemic risk. Recommend engaging IRDAI on mandatory segment-level ICR disclosure with corrective action triggers. This protects policyholders and prevents taxpayer-funded recapitalisation.</t>
  </si>
  <si>
    <t xml:space="preserve">5.  NEXT STEPS &amp; DATA REQUIREMENTS</t>
  </si>
  <si>
    <t xml:space="preserve">1. Refresh with FY 2022-23 data upon IRDAI Handbook publication — track whether PSU ICR crosses 1.30 threshold and whether SAHI share exceeds 30%.</t>
  </si>
  <si>
    <t xml:space="preserve">2. Integrate Sheet 82 (provider network data) with Sheet 76 (cashless settlement) to build state-level network adequacy index — key input for geographic expansion decisions.</t>
  </si>
  <si>
    <t xml:space="preserve">3. Commission actuarial review of Government Sponsored segment: model minimum viable premium under AB-PMJAY to quantify repricing requirement.</t>
  </si>
  <si>
    <t xml:space="preserve">4. Build insurer-level Power BI dashboard linking this workbook to live IRDAI data feeds for real-time competitive monitoring.</t>
  </si>
  <si>
    <t xml:space="preserve">5. Extend analysis to Personal Accident (Sheet 63) and Travel Insurance segments to complete the health protection market picture.</t>
  </si>
  <si>
    <t xml:space="preserve">6. Overlay with NITI Aayog district-level healthcare access data to identify specific districts with highest unmet health insurance demand.</t>
  </si>
  <si>
    <t xml:space="preserve">DATA AUDIT — IRDAI Health Insurance Statistics 2021-22 (Part III)</t>
  </si>
  <si>
    <t xml:space="preserve">Source: Insurance Regulatory and Development Authority of India (IRDAI) | Prepared: Analytics Lead Review</t>
  </si>
  <si>
    <t xml:space="preserve">1. DATA SOURCES INVENTORY</t>
  </si>
  <si>
    <t xml:space="preserve">Sheet</t>
  </si>
  <si>
    <t xml:space="preserve">Table Description</t>
  </si>
  <si>
    <t xml:space="preserve">Rows</t>
  </si>
  <si>
    <t xml:space="preserve">Columns</t>
  </si>
  <si>
    <t xml:space="preserve">Years Covered</t>
  </si>
  <si>
    <t xml:space="preserve">Key Metrics</t>
  </si>
  <si>
    <t xml:space="preserve">Data Grade</t>
  </si>
  <si>
    <t xml:space="preserve">Governance Flag</t>
  </si>
  <si>
    <t xml:space="preserve">Sheet 62</t>
  </si>
  <si>
    <t xml:space="preserve">Health Insurance – Policies, Persons Covered &amp; Gross Premium</t>
  </si>
  <si>
    <t xml:space="preserve">2013-14 to 2021-22</t>
  </si>
  <si>
    <t xml:space="preserve">Policies, Persons Covered (000s), Gross Premium (₹ Lakh)</t>
  </si>
  <si>
    <t xml:space="preserve">Decision-Grade</t>
  </si>
  <si>
    <t xml:space="preserve">Merged rows for HDFC ERGO – use SAHI/General aggregates</t>
  </si>
  <si>
    <t xml:space="preserve">Sheet 66</t>
  </si>
  <si>
    <t xml:space="preserve">Net Earned Premium, Incurred Claims, Incurred Claims Ratio</t>
  </si>
  <si>
    <t xml:space="preserve">NEP, Claims Incurred, ICR by segment &amp; insurer</t>
  </si>
  <si>
    <t xml:space="preserve">ICR &gt;1 common for PSU – systemic cross-subsidy expected</t>
  </si>
  <si>
    <t xml:space="preserve">Sheet 71</t>
  </si>
  <si>
    <t xml:space="preserve">State-wise Health Insurance Business</t>
  </si>
  <si>
    <t xml:space="preserve">2014-15 to 2021-22</t>
  </si>
  <si>
    <t xml:space="preserve">Policies, Persons, Premium, Claims by state</t>
  </si>
  <si>
    <t xml:space="preserve">Structural change in segment taxonomy 2018-19 (RSBY→AB-PMJAY)</t>
  </si>
  <si>
    <t xml:space="preserve">Sheet 72</t>
  </si>
  <si>
    <t xml:space="preserve">State-wise Individual Health Insurance</t>
  </si>
  <si>
    <t xml:space="preserve">Not analysed</t>
  </si>
  <si>
    <t xml:space="preserve">Individual policies by state</t>
  </si>
  <si>
    <t xml:space="preserve">Directional only</t>
  </si>
  <si>
    <t xml:space="preserve">Granularity useful but superseded by Sheet 71</t>
  </si>
  <si>
    <t xml:space="preserve">Sheet 76</t>
  </si>
  <si>
    <t xml:space="preserve">State-wise Claim Settlement (Cashless vs Reimbursement)</t>
  </si>
  <si>
    <t xml:space="preserve">Cashless / reimbursement split</t>
  </si>
  <si>
    <t xml:space="preserve">Useful for network adequacy; excluded from current scope</t>
  </si>
  <si>
    <t xml:space="preserve">Sheet 81</t>
  </si>
  <si>
    <t xml:space="preserve">TPA Network Hospital Summary</t>
  </si>
  <si>
    <t xml:space="preserve">2021-22 only</t>
  </si>
  <si>
    <t xml:space="preserve">TPA name, hospitals, network size</t>
  </si>
  <si>
    <t xml:space="preserve">No time-series; cannot assess network growth</t>
  </si>
  <si>
    <t xml:space="preserve">Sheet 82</t>
  </si>
  <si>
    <t xml:space="preserve">State-wise Network Provider Details</t>
  </si>
  <si>
    <t xml:space="preserve">Single snapshot</t>
  </si>
  <si>
    <t xml:space="preserve">Provider type, location, TPA</t>
  </si>
  <si>
    <t xml:space="preserve">Supplemental</t>
  </si>
  <si>
    <t xml:space="preserve">Most granular; requires separate analysis</t>
  </si>
  <si>
    <t xml:space="preserve">2. DATA QUALITY ASSESSMENT</t>
  </si>
  <si>
    <t xml:space="preserve">Dimension</t>
  </si>
  <si>
    <t xml:space="preserve">Assessment</t>
  </si>
  <si>
    <t xml:space="preserve">Detail</t>
  </si>
  <si>
    <t xml:space="preserve">Impact</t>
  </si>
  <si>
    <t xml:space="preserve">Mitigation Applied</t>
  </si>
  <si>
    <t xml:space="preserve">Completeness</t>
  </si>
  <si>
    <t xml:space="preserve">HIGH – 95%</t>
  </si>
  <si>
    <t xml:space="preserve">Newer SAHI firms (Aditya Birla) have NaN in pre-2016 years; Reliance Health shows nominal values only in 2021-22</t>
  </si>
  <si>
    <t xml:space="preserve">Minor – affects CAGR for 3 entities</t>
  </si>
  <si>
    <t xml:space="preserve">CAGR computed from first non-null year; flagged in metrics sheet</t>
  </si>
  <si>
    <t xml:space="preserve">Consistency</t>
  </si>
  <si>
    <t xml:space="preserve">RSBY renamed to AB-PMJAY from 2018-19; HDFC ERGO merger footnotes present</t>
  </si>
  <si>
    <t xml:space="preserve">Affects Govt Sponsored segment trend comparison</t>
  </si>
  <si>
    <t xml:space="preserve">Labelled as "Govt Sponsored" generically in cleaned view</t>
  </si>
  <si>
    <t xml:space="preserve">Accuracy</t>
  </si>
  <si>
    <t xml:space="preserve">Official IRDAI publication; cross-validated Grand Total = sum of sub-totals</t>
  </si>
  <si>
    <t xml:space="preserve">Low risk</t>
  </si>
  <si>
    <t xml:space="preserve">Cross-check: Sheet 62 Grand Total ₹73,052 Cr matches sum of PSU+Private+SAHI totals</t>
  </si>
  <si>
    <t xml:space="preserve">Timeliness</t>
  </si>
  <si>
    <t xml:space="preserve">CURRENT</t>
  </si>
  <si>
    <t xml:space="preserve">FY 2021-22 is the latest published IRDAI Handbook. FY 2022-23 data not yet in public domain</t>
  </si>
  <si>
    <t xml:space="preserve">Analysis current as of reporting cycle</t>
  </si>
  <si>
    <t xml:space="preserve">Clearly labelled; no imputation of future values</t>
  </si>
  <si>
    <t xml:space="preserve">Granularity</t>
  </si>
  <si>
    <t xml:space="preserve">Insurer-level × segment-level × year = 9 years × 4 segments × 21 entities</t>
  </si>
  <si>
    <t xml:space="preserve">Enables robust cross-sectional and time-series analysis</t>
  </si>
  <si>
    <t xml:space="preserve">Both roll-up and drill-down available</t>
  </si>
  <si>
    <t xml:space="preserve">Structural</t>
  </si>
  <si>
    <t xml:space="preserve">Nested merged-cell headers require careful column-offset logic; 15-col per year pattern</t>
  </si>
  <si>
    <t xml:space="preserve">Parsing error risk</t>
  </si>
  <si>
    <t xml:space="preserve">Column mapping validated against known Grand Total: 22,625,079 policies confirmed</t>
  </si>
  <si>
    <t xml:space="preserve">3. GOVERNANCE &amp; COMPLIANCE NOTES</t>
  </si>
  <si>
    <t xml:space="preserve">▶ REGULATORY AUTHORITY: Data published by IRDAI under the Insurance Act, 1938. Official regulatory source – highest credibility tier.</t>
  </si>
  <si>
    <t xml:space="preserve">▶ CURRENCY: All premium values in ₹ Lakh unless explicitly converted. 1 Crore = 100 Lakh used throughout this workbook.</t>
  </si>
  <si>
    <t xml:space="preserve">▶ PERSONS COVERED: Values in thousands (000s) in source. Converted to millions in summary views for readability.</t>
  </si>
  <si>
    <t xml:space="preserve">▶ ICR INTERPRETATION: ICR &gt; 1.0 implies claims exceed net earned premium for that segment. Does not imply insolvency; cross-segment subsidies and reinsurance apply.</t>
  </si>
  <si>
    <t xml:space="preserve">▶ PSU ICR DISTORTION: Government-sponsored schemes (Govt Sponsored segment) have ICR &gt;1.5 structurally, pulling up overall PSU ICR. Compare by segment for fair assessment.</t>
  </si>
  <si>
    <t xml:space="preserve">▶ DATA VERDICT: DECISION-GRADE for market sizing, competitive benchmarking, segment strategy, and geographic expansion planning.</t>
  </si>
  <si>
    <t xml:space="preserve">DATA CLEANING &amp; PREPARATION — Transformations Applied</t>
  </si>
  <si>
    <t xml:space="preserve">1. CLEANING OPERATIONS LOG</t>
  </si>
  <si>
    <t xml:space="preserve">#</t>
  </si>
  <si>
    <t xml:space="preserve">Issue Identified</t>
  </si>
  <si>
    <t xml:space="preserve">Scope</t>
  </si>
  <si>
    <t xml:space="preserve">Action Taken</t>
  </si>
  <si>
    <t xml:space="preserve">Assumption</t>
  </si>
  <si>
    <t xml:space="preserve">NaN values for new entrants (Aditya Birla, Acko, Navi) in early years</t>
  </si>
  <si>
    <t xml:space="preserve">Sheet 62, rows 36,12,26</t>
  </si>
  <si>
    <t xml:space="preserve">Treated as zero for aggregate calculations; excluded from individual CAGR where pre-entry</t>
  </si>
  <si>
    <t xml:space="preserve">Insurer did not operate in those years (regulatory entry after 2016)</t>
  </si>
  <si>
    <t xml:space="preserve">CAGR computed from first non-null year; flagged in metrics</t>
  </si>
  <si>
    <t xml:space="preserve">Reliance Health Insurance – negative premium in 2021-22 (₹-2 Lakh)</t>
  </si>
  <si>
    <t xml:space="preserve">Sheet 66 row 41, 2021-22</t>
  </si>
  <si>
    <t xml:space="preserve">Flagged as data anomaly; excluded from SAHI trend analysis</t>
  </si>
  <si>
    <t xml:space="preserve">Likely adjustments/corrections in regulatory filing; immaterial at 0.000003% of total</t>
  </si>
  <si>
    <t xml:space="preserve">Excluded from charts; included in totals as reported</t>
  </si>
  <si>
    <t xml:space="preserve">HDFC ERGO merger – two rows (row 19 and 20) with footnotes</t>
  </si>
  <si>
    <t xml:space="preserve">Sheet 62 rows 19-20</t>
  </si>
  <si>
    <t xml:space="preserve">Row 19 (post-merger HDFC ERGO) used; row 20 (L&amp;T era) treated as historical note only</t>
  </si>
  <si>
    <t xml:space="preserve">Post-merger entity is the continuing entity</t>
  </si>
  <si>
    <t xml:space="preserve">Pre-2017 HDFC ERGO data not used in insurer trend; Private Total is consistent</t>
  </si>
  <si>
    <t xml:space="preserve">Government Sponsored segment relabelled from RSBY to AB-PMJAY (2018-19 onwards)</t>
  </si>
  <si>
    <t xml:space="preserve">Sheet 71, structural</t>
  </si>
  <si>
    <t xml:space="preserve">Unified under "Govt Sponsored" label throughout</t>
  </si>
  <si>
    <t xml:space="preserve">Programmatic continuity: PMJAY replaced RSBY as flagship scheme</t>
  </si>
  <si>
    <t xml:space="preserve">Slight methodological break; 2017-18 to 2018-19 Govt Sponsored comparison is directional only</t>
  </si>
  <si>
    <t xml:space="preserve">Persons Covered – unit in thousands in source</t>
  </si>
  <si>
    <t xml:space="preserve">Sheet 62, col group offset +1 per year</t>
  </si>
  <si>
    <t xml:space="preserve">Clearly labelled as (000s) in all tables; converted to millions for executive summary</t>
  </si>
  <si>
    <t xml:space="preserve">Official IRDAI unit convention</t>
  </si>
  <si>
    <t xml:space="preserve">All calculations in this workbook retain source unit (000s) except where labelled</t>
  </si>
  <si>
    <t xml:space="preserve">Premium in ₹ Lakh in source</t>
  </si>
  <si>
    <t xml:space="preserve">All sheets</t>
  </si>
  <si>
    <t xml:space="preserve">Retained ₹ Lakh for base tables; converted to ₹ Crore (÷100) in summary/executive views</t>
  </si>
  <si>
    <t xml:space="preserve">Standard Indian financial reporting convention</t>
  </si>
  <si>
    <t xml:space="preserve">Formula-based conversion; all source cells preserved</t>
  </si>
  <si>
    <t xml:space="preserve">Cholamandalam MS ICR = 1.73 – outlier in Private segment</t>
  </si>
  <si>
    <t xml:space="preserve">Sheet 66, row 15, 2021-22</t>
  </si>
  <si>
    <t xml:space="preserve">Retained as-is; flagged as outlier in metrics. Not imputed.</t>
  </si>
  <si>
    <t xml:space="preserve">High Govt Sponsored scheme exposure likely explanation</t>
  </si>
  <si>
    <t xml:space="preserve">Distorts Private segment average; noted in narrative</t>
  </si>
  <si>
    <t xml:space="preserve">State rows: Dadra &amp; Nagar Haveli merged with Daman &amp; Diu</t>
  </si>
  <si>
    <t xml:space="preserve">Sheet 71, row 35</t>
  </si>
  <si>
    <t xml:space="preserve">Combined entity retained as single row matching IRDAI classification post-2019 reorganisation</t>
  </si>
  <si>
    <t xml:space="preserve">Administrative merger of UTs in 2020</t>
  </si>
  <si>
    <t xml:space="preserve">No impact on analysis; treated as single geographic unit</t>
  </si>
  <si>
    <t xml:space="preserve">2. STANDARDISED INSURER MASTER TABLE</t>
  </si>
  <si>
    <t xml:space="preserve">Insurer (Standardised)</t>
  </si>
  <si>
    <t xml:space="preserve">Category</t>
  </si>
  <si>
    <t xml:space="preserve">Type</t>
  </si>
  <si>
    <t xml:space="preserve">Listed?</t>
  </si>
  <si>
    <t xml:space="preserve">Entry Year (Est.)</t>
  </si>
  <si>
    <t xml:space="preserve">Notes</t>
  </si>
  <si>
    <t xml:space="preserve">National Insurance Co. Ltd.</t>
  </si>
  <si>
    <t xml:space="preserve">General</t>
  </si>
  <si>
    <t xml:space="preserve">No</t>
  </si>
  <si>
    <t xml:space="preserve">Pre-2013</t>
  </si>
  <si>
    <t xml:space="preserve">Wholly state-owned; SOE</t>
  </si>
  <si>
    <t xml:space="preserve">New India Assurance Co. Ltd.</t>
  </si>
  <si>
    <t xml:space="preserve">Yes (NSE/BSE)</t>
  </si>
  <si>
    <t xml:space="preserve">Largest health insurer by premium FY22</t>
  </si>
  <si>
    <t xml:space="preserve">Oriental Insurance Co. Ltd.</t>
  </si>
  <si>
    <t xml:space="preserve">Highest ICR in FY22 – structural issue</t>
  </si>
  <si>
    <t xml:space="preserve">United India Insurance Co. Ltd.</t>
  </si>
  <si>
    <t xml:space="preserve">Largest Govt Sponsored coverage</t>
  </si>
  <si>
    <t xml:space="preserve">Bajaj Allianz General Insurance</t>
  </si>
  <si>
    <t xml:space="preserve">JV: Bajaj Finserv + Allianz SE</t>
  </si>
  <si>
    <t xml:space="preserve">Cholamandalam MS General Insurance</t>
  </si>
  <si>
    <t xml:space="preserve">JV: Murugappa Group + Mitsui Sumitomo</t>
  </si>
  <si>
    <t xml:space="preserve">Future Generali India Insurance</t>
  </si>
  <si>
    <t xml:space="preserve">JV: Future Group + Generali Group; future uncertain post-Future Group collapse</t>
  </si>
  <si>
    <t xml:space="preserve">ICICI Lombard General Insurance</t>
  </si>
  <si>
    <t xml:space="preserve">Largest listed private general insurer</t>
  </si>
  <si>
    <t xml:space="preserve">IFFCO Tokio General Insurance</t>
  </si>
  <si>
    <t xml:space="preserve">JV: IFFCO + Tokio Marine</t>
  </si>
  <si>
    <t xml:space="preserve">Reliance General Insurance</t>
  </si>
  <si>
    <t xml:space="preserve">Part of Reliance Capital (NBFC stress noted)</t>
  </si>
  <si>
    <t xml:space="preserve">SBI General Insurance</t>
  </si>
  <si>
    <t xml:space="preserve">JV: SBI + IAG; strong bancassurance channel</t>
  </si>
  <si>
    <t xml:space="preserve">Tata AIG General Insurance</t>
  </si>
  <si>
    <t xml:space="preserve">JV: Tata Sons + AIG; fastest private CAGR in dataset</t>
  </si>
  <si>
    <t xml:space="preserve">Aditya Birla Health Insurance</t>
  </si>
  <si>
    <t xml:space="preserve">Health</t>
  </si>
  <si>
    <t xml:space="preserve">2016</t>
  </si>
  <si>
    <t xml:space="preserve">Entered 2016-17; digital-first positioning</t>
  </si>
  <si>
    <t xml:space="preserve">Care Health Insurance</t>
  </si>
  <si>
    <t xml:space="preserve">Formerly Religare Health Insurance; strong retail mix</t>
  </si>
  <si>
    <t xml:space="preserve">ManipalCigna Health Insurance</t>
  </si>
  <si>
    <t xml:space="preserve">2014</t>
  </si>
  <si>
    <t xml:space="preserve">JV: Manipal Group + Cigna Corp</t>
  </si>
  <si>
    <t xml:space="preserve">Niva Bupa Health Insurance</t>
  </si>
  <si>
    <t xml:space="preserve">Formerly Max Bupa; acquired by True North PE</t>
  </si>
  <si>
    <t xml:space="preserve">Star Health &amp; Allied Insurance</t>
  </si>
  <si>
    <t xml:space="preserve">Dominant SAHI; 56.4% segment share FY22; largest insurer in dataset by policy count</t>
  </si>
  <si>
    <t xml:space="preserve">EXPLORATORY ANALYSIS — Market Structure, Trends &amp; Competitive Landscape</t>
  </si>
  <si>
    <t xml:space="preserve">A. GRAND TOTAL TIME SERIES (FY 2013-14 to 2021-22)</t>
  </si>
  <si>
    <t xml:space="preserve">Year</t>
  </si>
  <si>
    <t xml:space="preserve">Policies (Count)</t>
  </si>
  <si>
    <t xml:space="preserve">Persons Covered (000s)</t>
  </si>
  <si>
    <t xml:space="preserve">Gross Premium (₹ Lakh)</t>
  </si>
  <si>
    <t xml:space="preserve">Gross Premium (₹ Cr)</t>
  </si>
  <si>
    <t xml:space="preserve">YoY Premium Growth</t>
  </si>
  <si>
    <t xml:space="preserve">YoY Policy Growth</t>
  </si>
  <si>
    <t xml:space="preserve">2013-14</t>
  </si>
  <si>
    <t xml:space="preserve">—</t>
  </si>
  <si>
    <t xml:space="preserve">2014-15</t>
  </si>
  <si>
    <t xml:space="preserve">2015-16</t>
  </si>
  <si>
    <t xml:space="preserve">2016-17</t>
  </si>
  <si>
    <t xml:space="preserve">2017-18</t>
  </si>
  <si>
    <t xml:space="preserve">2018-19</t>
  </si>
  <si>
    <t xml:space="preserve">2019-20</t>
  </si>
  <si>
    <t xml:space="preserve">2020-21</t>
  </si>
  <si>
    <t xml:space="preserve">2021-22</t>
  </si>
  <si>
    <t xml:space="preserve">9-Year CAGR (2013-14 to 2021-22)</t>
  </si>
  <si>
    <t xml:space="preserve">Premium CAGR</t>
  </si>
  <si>
    <t xml:space="preserve">Policy CAGR</t>
  </si>
  <si>
    <t xml:space="preserve">B. SEGMENT &amp; CATEGORY MARKET SHARE — FY 2021-22</t>
  </si>
  <si>
    <t xml:space="preserve">Market Share %</t>
  </si>
  <si>
    <t xml:space="preserve">Policies</t>
  </si>
  <si>
    <t xml:space="preserve">Policy Share %</t>
  </si>
  <si>
    <t xml:space="preserve">Coverage Share %</t>
  </si>
  <si>
    <t xml:space="preserve">Public Sector Insurers (PSU)</t>
  </si>
  <si>
    <t xml:space="preserve">Private General Insurers</t>
  </si>
  <si>
    <t xml:space="preserve">Stand-alone Health Insurers (SAHI)</t>
  </si>
  <si>
    <t xml:space="preserve">Grand Total</t>
  </si>
  <si>
    <t xml:space="preserve">C. INSURER-LEVEL SUMMARY — FY 2021-22</t>
  </si>
  <si>
    <t xml:space="preserve">Market Share (Premium)</t>
  </si>
  <si>
    <t xml:space="preserve">Avg Premium/Policy (₹)</t>
  </si>
  <si>
    <t xml:space="preserve">Avg Premium/Person (₹)</t>
  </si>
  <si>
    <t xml:space="preserve">KPI FRAMEWORK &amp; INSURER SCORING — Decision-Grade Metrics</t>
  </si>
  <si>
    <t xml:space="preserve">A. KPI DEFINITIONS &amp; BUSINESS LOGIC</t>
  </si>
  <si>
    <t xml:space="preserve">KPI Name</t>
  </si>
  <si>
    <t xml:space="preserve">Business Meaning</t>
  </si>
  <si>
    <t xml:space="preserve">Formula</t>
  </si>
  <si>
    <t xml:space="preserve">Unit</t>
  </si>
  <si>
    <t xml:space="preserve">Source</t>
  </si>
  <si>
    <t xml:space="preserve">Known Limitations</t>
  </si>
  <si>
    <t xml:space="preserve">Competitive position of insurer in total market</t>
  </si>
  <si>
    <t xml:space="preserve">(Insurer Gross Premium ÷ Grand Total Gross Premium) × 100</t>
  </si>
  <si>
    <t xml:space="preserve">% of Total Market</t>
  </si>
  <si>
    <t xml:space="preserve">Sheet 62 – TOTAL segment</t>
  </si>
  <si>
    <t xml:space="preserve">Does not capture non-indemnity (benefit-based) products separately</t>
  </si>
  <si>
    <t xml:space="preserve">Incurred Claims Ratio (ICR)</t>
  </si>
  <si>
    <t xml:space="preserve">Underwriting efficiency: proportion of NEP consumed by claims</t>
  </si>
  <si>
    <t xml:space="preserve">Claims Incurred (Net) ÷ Net Earned Premium</t>
  </si>
  <si>
    <t xml:space="preserve">Ratio (1.0 = break-even)</t>
  </si>
  <si>
    <t xml:space="preserve">Sheet 66 – TOTAL segment</t>
  </si>
  <si>
    <t xml:space="preserve">ICR &gt;1 in Govt Sponsored is structural, not insurer failure. Exclude for private business benchmarking.</t>
  </si>
  <si>
    <t xml:space="preserve">Revenue CAGR</t>
  </si>
  <si>
    <t xml:space="preserve">Growth quality and momentum over the full study period</t>
  </si>
  <si>
    <t xml:space="preserve">(Gross Premium FY22 ÷ Gross Premium FY14)^(1/8) – 1</t>
  </si>
  <si>
    <t xml:space="preserve">% per annum</t>
  </si>
  <si>
    <t xml:space="preserve">Mask structural shifts (segment mix, M&amp;A). Use alongside segment-level CAGR.</t>
  </si>
  <si>
    <t xml:space="preserve">Average Premium per Policy (APP)</t>
  </si>
  <si>
    <t xml:space="preserve">Proxy for product mix richness and ticket-size evolution</t>
  </si>
  <si>
    <t xml:space="preserve">(Gross Premium ₹ Lakh × 100,000) ÷ No. of Policies</t>
  </si>
  <si>
    <t xml:space="preserve">₹ per policy</t>
  </si>
  <si>
    <t xml:space="preserve">Blends Govt Sponsored (low premium) with retail (higher). Segment-level cuts more insightful.</t>
  </si>
  <si>
    <t xml:space="preserve">Average Premium per Person (APPerson)</t>
  </si>
  <si>
    <t xml:space="preserve">Effective per-capita cost of coverage</t>
  </si>
  <si>
    <t xml:space="preserve">(Gross Premium ₹ Lakh × 100) ÷ Persons Covered (000s)</t>
  </si>
  <si>
    <t xml:space="preserve">₹ per person covered</t>
  </si>
  <si>
    <t xml:space="preserve">Persons Covered includes beneficiaries under group/Govt schemes who may have negligible per-head cost.</t>
  </si>
  <si>
    <t xml:space="preserve">Coverage Penetration Ratio</t>
  </si>
  <si>
    <t xml:space="preserve">Share of persons covered relative to total market coverage</t>
  </si>
  <si>
    <t xml:space="preserve">(Insurer Persons Covered ÷ Grand Total Persons Covered) × 100</t>
  </si>
  <si>
    <t xml:space="preserve">% of covered lives</t>
  </si>
  <si>
    <t xml:space="preserve">Govt Sponsored schemes dominate numerically; private insurers appear small on this metric.</t>
  </si>
  <si>
    <t xml:space="preserve">Underwriting Efficiency Score (UES)</t>
  </si>
  <si>
    <t xml:space="preserve">Composite scoring of underwriting quality: lower ICR = higher score</t>
  </si>
  <si>
    <t xml:space="preserve">Score = MAX(0, (1.5 – ICR) ÷ 1.5) × 100</t>
  </si>
  <si>
    <t xml:space="preserve">0–100 score (100 = best)</t>
  </si>
  <si>
    <t xml:space="preserve">Constructed index; not an IRDAI metric. Useful for relative ranking only.</t>
  </si>
  <si>
    <t xml:space="preserve">Growth-Quality Index (GQI)</t>
  </si>
  <si>
    <t xml:space="preserve">Composite: balances growth rate against underwriting discipline</t>
  </si>
  <si>
    <t xml:space="preserve">GQI = (CAGR Rank × 0.5) + (UES Rank × 0.5); normalised to 0–100</t>
  </si>
  <si>
    <t xml:space="preserve">0–100 composite index</t>
  </si>
  <si>
    <t xml:space="preserve">Derived</t>
  </si>
  <si>
    <t xml:space="preserve">Equal weighting is a simplifying assumption. Adjust weights for specific stakeholder context.</t>
  </si>
  <si>
    <t xml:space="preserve">State Premium Concentration (HHI proxy)</t>
  </si>
  <si>
    <t xml:space="preserve">Geographic concentration risk in premium distribution</t>
  </si>
  <si>
    <t xml:space="preserve">HHI = Σ (State Share %)² across all 36 states/UTs</t>
  </si>
  <si>
    <t xml:space="preserve">Index (0=max diversified, 10000=monopoly)</t>
  </si>
  <si>
    <t xml:space="preserve">Computed at national aggregate level only; not insurer-level.</t>
  </si>
  <si>
    <t xml:space="preserve">B. INSURER SCORECARD — FY 2021-22 (Ranked by Growth-Quality Index)</t>
  </si>
  <si>
    <t xml:space="preserve">Market Share</t>
  </si>
  <si>
    <t xml:space="preserve">ICR FY22</t>
  </si>
  <si>
    <t xml:space="preserve">NEP (₹ Lakh)</t>
  </si>
  <si>
    <t xml:space="preserve">Claims (₹ Lakh)</t>
  </si>
  <si>
    <t xml:space="preserve">CAGR Premium</t>
  </si>
  <si>
    <t xml:space="preserve">Underwriting Efficiency Score</t>
  </si>
  <si>
    <t xml:space="preserve">CAGR Rank</t>
  </si>
  <si>
    <t xml:space="preserve">UES Rank</t>
  </si>
  <si>
    <t xml:space="preserve">GQI Score</t>
  </si>
  <si>
    <t xml:space="preserve">Tier</t>
  </si>
  <si>
    <t xml:space="preserve">Tier 1 – Leader</t>
  </si>
  <si>
    <t xml:space="preserve">Tier 2 – Challenger</t>
  </si>
  <si>
    <t xml:space="preserve">Tier 3 – Laggard</t>
  </si>
  <si>
    <t xml:space="preserve">C. ICR YEAR-OVER-YEAR TREND — Category Level</t>
  </si>
  <si>
    <t xml:space="preserve">PSU Total</t>
  </si>
  <si>
    <t xml:space="preserve">Private Total</t>
  </si>
  <si>
    <t xml:space="preserve">SAHI Total</t>
  </si>
  <si>
    <t xml:space="preserve">CHARTS &amp; ANALYTICAL INSIGHTS — Organised by Decision Theme</t>
  </si>
  <si>
    <t xml:space="preserve">DATA TABLE 1 — Category Premium Time Series (₹ Crore)</t>
  </si>
  <si>
    <t xml:space="preserve">PSU (₹ Cr)</t>
  </si>
  <si>
    <t xml:space="preserve">Private (₹ Cr)</t>
  </si>
  <si>
    <t xml:space="preserve">SAHI (₹ Cr)</t>
  </si>
  <si>
    <t xml:space="preserve">Grand Total (₹ Cr)</t>
  </si>
  <si>
    <t xml:space="preserve">DATA TABLE 2 — Top 10 States by Premium FY 2021-22</t>
  </si>
  <si>
    <t xml:space="preserve">Rank</t>
  </si>
  <si>
    <t xml:space="preserve">State</t>
  </si>
  <si>
    <t xml:space="preserve">Premium (₹ Lakh)</t>
  </si>
  <si>
    <t xml:space="preserve">Premium (₹ Cr)</t>
  </si>
  <si>
    <t xml:space="preserve">Share %</t>
  </si>
  <si>
    <t xml:space="preserve">Maharashtra</t>
  </si>
  <si>
    <t xml:space="preserve">Karnataka</t>
  </si>
  <si>
    <t xml:space="preserve">Tamil Nadu</t>
  </si>
  <si>
    <t xml:space="preserve">Gujarat</t>
  </si>
  <si>
    <t xml:space="preserve">Delhi</t>
  </si>
  <si>
    <t xml:space="preserve">Telangana</t>
  </si>
  <si>
    <t xml:space="preserve">West Bengal</t>
  </si>
  <si>
    <t xml:space="preserve">Haryana</t>
  </si>
  <si>
    <t xml:space="preserve">Uttar Pradesh</t>
  </si>
  <si>
    <t xml:space="preserve">Rajasthan</t>
  </si>
  <si>
    <t xml:space="preserve">DATA TABLE 3 — ICR Ranking FY 2021-22 (Individual Insurers)</t>
  </si>
  <si>
    <t xml:space="preserve">Benchmark (Industry Avg)</t>
  </si>
  <si>
    <t xml:space="preserve">vs Benchmark</t>
  </si>
  <si>
    <t xml:space="preserve">✓ Below Avg</t>
  </si>
  <si>
    <t xml:space="preserve">~ At Avg</t>
  </si>
  <si>
    <t xml:space="preserve">⚠ Above Avg</t>
  </si>
  <si>
    <t xml:space="preserve">▶ INSIGHT: SAHI Segment: Fastest-Growing, Best Underwriting</t>
  </si>
  <si>
    <t xml:space="preserve">SAHI insurers grew at 32.5% CAGR (2013-22) vs. 15.0% for Private and 14.9% for PSU. They simultaneously achieved the lowest ICR (0.81 in FY22), indicating superior risk selection, product design, and operational efficiency. Confidence: HIGH.</t>
  </si>
  <si>
    <t xml:space="preserve">▶ INSIGHT: Maharashtra Concentration Risk</t>
  </si>
  <si>
    <t xml:space="preserve">Maharashtra alone accounts for 31.9% of all health insurance premium (₹23,301 Cr). Top 5 states (Maharashtra, Karnataka, Tamil Nadu, Gujarat, Delhi) contribute 65.8% of national premium. This geographic concentration implies significant systemic risk – adverse events in Maharashtra alone could materially impact industry-wide results. Confidence: HIGH.</t>
  </si>
  <si>
    <t xml:space="preserve">▶ INSIGHT: PSU Structural ICR Deterioration</t>
  </si>
  <si>
    <t xml:space="preserve">PSU ICR has worsened every year from 1.07 (2013-14) to 1.26 (2021-22), consistently above 1.0 for 8+ years. This is not cyclical noise – it reflects structural under-pricing of Government Sponsored schemes, where premiums are politically constrained but healthcare costs inflate. Cross-subsidy from group/individual business is unsustainable. Confidence: HIGH.</t>
  </si>
  <si>
    <t xml:space="preserve">▶ INSIGHT: Star Health: Dominant but Concentrated</t>
  </si>
  <si>
    <t xml:space="preserve">Star Health commands 15.5% of total market premium and 56.4% of SAHI segment. Policy count (6.9M) dwarfs all SAHI competitors combined (4.0M). However, its retail-heavy Individual Floater exposure creates weather/epidemic concentration risk. Its FY22 ICR of 0.87 is above SAHI average of 0.81 – rising claims trend post-COVID warrants monitoring. Confidence: HIGH.</t>
  </si>
</sst>
</file>

<file path=xl/styles.xml><?xml version="1.0" encoding="utf-8"?>
<styleSheet xmlns="http://schemas.openxmlformats.org/spreadsheetml/2006/main">
  <numFmts count="8">
    <numFmt numFmtId="164" formatCode="General"/>
    <numFmt numFmtId="165" formatCode="#,##0"/>
    <numFmt numFmtId="166" formatCode="0.0%"/>
    <numFmt numFmtId="167" formatCode="#,##0.0"/>
    <numFmt numFmtId="168" formatCode="0.000"/>
    <numFmt numFmtId="169" formatCode="0.0"/>
    <numFmt numFmtId="170" formatCode="0"/>
    <numFmt numFmtId="171" formatCode="\+0.000;\-0.000"/>
  </numFmts>
  <fonts count="34">
    <font>
      <sz val="11"/>
      <color theme="1"/>
      <name val="Calibri"/>
      <family val="2"/>
      <charset val="1"/>
    </font>
    <font>
      <sz val="10"/>
      <name val="Arial"/>
      <family val="0"/>
    </font>
    <font>
      <sz val="10"/>
      <name val="Arial"/>
      <family val="0"/>
    </font>
    <font>
      <sz val="10"/>
      <name val="Arial"/>
      <family val="0"/>
    </font>
    <font>
      <b val="true"/>
      <sz val="22"/>
      <color rgb="FFFFFFFF"/>
      <name val="Calibri"/>
      <family val="0"/>
      <charset val="1"/>
    </font>
    <font>
      <i val="true"/>
      <sz val="10"/>
      <color rgb="FF888888"/>
      <name val="Calibri"/>
      <family val="0"/>
      <charset val="1"/>
    </font>
    <font>
      <b val="true"/>
      <sz val="10"/>
      <color rgb="FF1A2744"/>
      <name val="Calibri"/>
      <family val="0"/>
      <charset val="1"/>
    </font>
    <font>
      <b val="true"/>
      <sz val="11"/>
      <color rgb="FF1A2744"/>
      <name val="Calibri"/>
      <family val="0"/>
      <charset val="1"/>
    </font>
    <font>
      <b val="true"/>
      <sz val="18"/>
      <color rgb="FFFFFFFF"/>
      <name val="Calibri"/>
      <family val="0"/>
      <charset val="1"/>
    </font>
    <font>
      <b val="true"/>
      <sz val="9"/>
      <color rgb="FF1A2744"/>
      <name val="Calibri"/>
      <family val="0"/>
      <charset val="1"/>
    </font>
    <font>
      <b val="true"/>
      <sz val="9"/>
      <color rgb="FF2E5BBA"/>
      <name val="Calibri"/>
      <family val="0"/>
      <charset val="1"/>
    </font>
    <font>
      <b val="true"/>
      <sz val="9"/>
      <color rgb="FF008080"/>
      <name val="Calibri"/>
      <family val="0"/>
      <charset val="1"/>
    </font>
    <font>
      <b val="true"/>
      <sz val="9"/>
      <color rgb="FF375623"/>
      <name val="Calibri"/>
      <family val="0"/>
      <charset val="1"/>
    </font>
    <font>
      <b val="true"/>
      <sz val="9"/>
      <color rgb="FFC55A11"/>
      <name val="Calibri"/>
      <family val="0"/>
      <charset val="1"/>
    </font>
    <font>
      <b val="true"/>
      <sz val="9"/>
      <color rgb="FFC00000"/>
      <name val="Calibri"/>
      <family val="0"/>
      <charset val="1"/>
    </font>
    <font>
      <b val="true"/>
      <sz val="11"/>
      <color rgb="FFFFFFFF"/>
      <name val="Calibri"/>
      <family val="0"/>
      <charset val="1"/>
    </font>
    <font>
      <b val="true"/>
      <sz val="9"/>
      <color rgb="FF000000"/>
      <name val="Calibri"/>
      <family val="0"/>
      <charset val="1"/>
    </font>
    <font>
      <sz val="9"/>
      <color rgb="FF000000"/>
      <name val="Calibri"/>
      <family val="0"/>
      <charset val="1"/>
    </font>
    <font>
      <b val="true"/>
      <sz val="9"/>
      <color rgb="FFFFFFFF"/>
      <name val="Calibri"/>
      <family val="0"/>
      <charset val="1"/>
    </font>
    <font>
      <b val="true"/>
      <sz val="8"/>
      <color rgb="FF375623"/>
      <name val="Calibri"/>
      <family val="0"/>
      <charset val="1"/>
    </font>
    <font>
      <b val="true"/>
      <sz val="8"/>
      <color rgb="FF7F6000"/>
      <name val="Calibri"/>
      <family val="0"/>
      <charset val="1"/>
    </font>
    <font>
      <b val="true"/>
      <sz val="8"/>
      <color rgb="FFFFFFFF"/>
      <name val="Calibri"/>
      <family val="0"/>
      <charset val="1"/>
    </font>
    <font>
      <b val="true"/>
      <sz val="8"/>
      <color rgb="FFC00000"/>
      <name val="Calibri"/>
      <family val="0"/>
      <charset val="1"/>
    </font>
    <font>
      <b val="true"/>
      <sz val="16"/>
      <color rgb="FFFFFFFF"/>
      <name val="Calibri"/>
      <family val="0"/>
      <charset val="1"/>
    </font>
    <font>
      <i val="true"/>
      <sz val="9"/>
      <color rgb="FF666666"/>
      <name val="Calibri"/>
      <family val="0"/>
      <charset val="1"/>
    </font>
    <font>
      <b val="true"/>
      <sz val="12"/>
      <color rgb="FFFFFFFF"/>
      <name val="Calibri"/>
      <family val="0"/>
      <charset val="1"/>
    </font>
    <font>
      <b val="true"/>
      <sz val="10"/>
      <color rgb="FFFFFFFF"/>
      <name val="Calibri"/>
      <family val="0"/>
      <charset val="1"/>
    </font>
    <font>
      <b val="true"/>
      <sz val="9"/>
      <color rgb="FF7F6000"/>
      <name val="Calibri"/>
      <family val="0"/>
      <charset val="1"/>
    </font>
    <font>
      <sz val="9"/>
      <color rgb="FF333333"/>
      <name val="Calibri"/>
      <family val="0"/>
      <charset val="1"/>
    </font>
    <font>
      <sz val="10"/>
      <color rgb="FF000000"/>
      <name val="Calibri"/>
      <family val="0"/>
      <charset val="1"/>
    </font>
    <font>
      <b val="true"/>
      <sz val="10"/>
      <color rgb="FF000000"/>
      <name val="Calibri"/>
      <family val="0"/>
      <charset val="1"/>
    </font>
    <font>
      <b val="true"/>
      <sz val="18"/>
      <color rgb="FF000000"/>
      <name val="Calibri"/>
      <family val="2"/>
    </font>
    <font>
      <sz val="10"/>
      <color rgb="FF000000"/>
      <name val="Calibri"/>
      <family val="2"/>
    </font>
    <font>
      <b val="true"/>
      <sz val="10"/>
      <color rgb="FF000000"/>
      <name val="Calibri"/>
      <family val="2"/>
    </font>
  </fonts>
  <fills count="20">
    <fill>
      <patternFill patternType="none"/>
    </fill>
    <fill>
      <patternFill patternType="gray125"/>
    </fill>
    <fill>
      <patternFill patternType="solid">
        <fgColor rgb="FF1A2744"/>
        <bgColor rgb="FF1F3864"/>
      </patternFill>
    </fill>
    <fill>
      <patternFill patternType="solid">
        <fgColor rgb="FFDAEEF3"/>
        <bgColor rgb="FFE2EFDA"/>
      </patternFill>
    </fill>
    <fill>
      <patternFill patternType="solid">
        <fgColor rgb="FF2E5BBA"/>
        <bgColor rgb="FF0066CC"/>
      </patternFill>
    </fill>
    <fill>
      <patternFill patternType="solid">
        <fgColor rgb="FF008080"/>
        <bgColor rgb="FF008080"/>
      </patternFill>
    </fill>
    <fill>
      <patternFill patternType="solid">
        <fgColor rgb="FFFFFFFF"/>
        <bgColor rgb="FFF9F9F9"/>
      </patternFill>
    </fill>
    <fill>
      <patternFill patternType="solid">
        <fgColor rgb="FF375623"/>
        <bgColor rgb="FF333333"/>
      </patternFill>
    </fill>
    <fill>
      <patternFill patternType="solid">
        <fgColor rgb="FFC55A11"/>
        <bgColor rgb="FF993300"/>
      </patternFill>
    </fill>
    <fill>
      <patternFill patternType="solid">
        <fgColor rgb="FFC00000"/>
        <bgColor rgb="FF800000"/>
      </patternFill>
    </fill>
    <fill>
      <patternFill patternType="solid">
        <fgColor rgb="FF1F3864"/>
        <bgColor rgb="FF1A2744"/>
      </patternFill>
    </fill>
    <fill>
      <patternFill patternType="solid">
        <fgColor rgb="FFF5F5F5"/>
        <bgColor rgb="FFF9F9F9"/>
      </patternFill>
    </fill>
    <fill>
      <patternFill patternType="solid">
        <fgColor rgb="FFD9D9D9"/>
        <bgColor rgb="FFCCCCCC"/>
      </patternFill>
    </fill>
    <fill>
      <patternFill patternType="solid">
        <fgColor rgb="FFF0F8FF"/>
        <bgColor rgb="FFF5F5F5"/>
      </patternFill>
    </fill>
    <fill>
      <patternFill patternType="solid">
        <fgColor rgb="FFFFF2CC"/>
        <bgColor rgb="FFFFE6CC"/>
      </patternFill>
    </fill>
    <fill>
      <patternFill patternType="solid">
        <fgColor rgb="FFE2EFDA"/>
        <bgColor rgb="FFDAEEF3"/>
      </patternFill>
    </fill>
    <fill>
      <patternFill patternType="solid">
        <fgColor rgb="FFFFE6CC"/>
        <bgColor rgb="FFFFF2CC"/>
      </patternFill>
    </fill>
    <fill>
      <patternFill patternType="solid">
        <fgColor rgb="FFFFFFCC"/>
        <bgColor rgb="FFFFFDE7"/>
      </patternFill>
    </fill>
    <fill>
      <patternFill patternType="solid">
        <fgColor rgb="FFFFCCCC"/>
        <bgColor rgb="FFFFE6CC"/>
      </patternFill>
    </fill>
    <fill>
      <patternFill patternType="solid">
        <fgColor rgb="FFFFFDE7"/>
        <bgColor rgb="FFF9F9F9"/>
      </patternFill>
    </fill>
  </fills>
  <borders count="4">
    <border diagonalUp="false" diagonalDown="false">
      <left/>
      <right/>
      <top/>
      <bottom/>
      <diagonal/>
    </border>
    <border diagonalUp="false" diagonalDown="false">
      <left style="thin">
        <color rgb="FFCCCCCC"/>
      </left>
      <right/>
      <top style="thin">
        <color rgb="FFCCCCCC"/>
      </top>
      <bottom style="thin">
        <color rgb="FFCCCCCC"/>
      </bottom>
      <diagonal/>
    </border>
    <border diagonalUp="false" diagonalDown="false">
      <left style="medium">
        <color rgb="FF999999"/>
      </left>
      <right/>
      <top style="medium">
        <color rgb="FF999999"/>
      </top>
      <bottom style="medium">
        <color rgb="FF999999"/>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2" borderId="2" xfId="0" applyFont="true" applyBorder="true" applyAlignment="true" applyProtection="false">
      <alignment horizontal="center" vertical="center" textRotation="0" wrapText="false" indent="0" shrinkToFit="false"/>
      <protection locked="true" hidden="false"/>
    </xf>
    <xf numFmtId="164" fontId="8" fillId="4" borderId="2" xfId="0" applyFont="true" applyBorder="true" applyAlignment="true" applyProtection="false">
      <alignment horizontal="center" vertical="center" textRotation="0" wrapText="false" indent="0" shrinkToFit="false"/>
      <protection locked="true" hidden="false"/>
    </xf>
    <xf numFmtId="164" fontId="8" fillId="5" borderId="2"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8" fillId="7" borderId="2" xfId="0" applyFont="true" applyBorder="true" applyAlignment="true" applyProtection="false">
      <alignment horizontal="center" vertical="center" textRotation="0" wrapText="false" indent="0" shrinkToFit="false"/>
      <protection locked="true" hidden="false"/>
    </xf>
    <xf numFmtId="164" fontId="8" fillId="8" borderId="2" xfId="0" applyFont="true" applyBorder="true" applyAlignment="true" applyProtection="false">
      <alignment horizontal="center" vertical="center" textRotation="0" wrapText="false" indent="0" shrinkToFit="false"/>
      <protection locked="true" hidden="false"/>
    </xf>
    <xf numFmtId="164" fontId="8" fillId="9" borderId="2"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true" applyProtection="false">
      <alignment horizontal="center" vertical="center" textRotation="0" wrapText="false" indent="0" shrinkToFit="false"/>
      <protection locked="true" hidden="false"/>
    </xf>
    <xf numFmtId="164" fontId="15" fillId="10" borderId="0" xfId="0" applyFont="true" applyBorder="true" applyAlignment="true" applyProtection="false">
      <alignment horizontal="left" vertical="center" textRotation="0" wrapText="false" indent="0" shrinkToFit="false"/>
      <protection locked="true" hidden="false"/>
    </xf>
    <xf numFmtId="164" fontId="16" fillId="11" borderId="3" xfId="0" applyFont="true" applyBorder="true" applyAlignment="true" applyProtection="false">
      <alignment horizontal="left" vertical="bottom" textRotation="0" wrapText="true" indent="0" shrinkToFit="false"/>
      <protection locked="true" hidden="false"/>
    </xf>
    <xf numFmtId="164" fontId="17" fillId="11" borderId="3" xfId="0" applyFont="true" applyBorder="true" applyAlignment="true" applyProtection="false">
      <alignment horizontal="center" vertical="bottom" textRotation="0" wrapText="true" indent="0" shrinkToFit="false"/>
      <protection locked="true" hidden="false"/>
    </xf>
    <xf numFmtId="164" fontId="17" fillId="11" borderId="3" xfId="0" applyFont="true" applyBorder="true" applyAlignment="true" applyProtection="false">
      <alignment horizontal="left" vertical="bottom" textRotation="0" wrapText="true" indent="0" shrinkToFit="false"/>
      <protection locked="true" hidden="false"/>
    </xf>
    <xf numFmtId="164" fontId="16" fillId="6" borderId="3" xfId="0" applyFont="true" applyBorder="true" applyAlignment="true" applyProtection="false">
      <alignment horizontal="left" vertical="bottom" textRotation="0" wrapText="true" indent="0" shrinkToFit="false"/>
      <protection locked="true" hidden="false"/>
    </xf>
    <xf numFmtId="164" fontId="17" fillId="6" borderId="3" xfId="0" applyFont="true" applyBorder="true" applyAlignment="true" applyProtection="false">
      <alignment horizontal="center" vertical="bottom" textRotation="0" wrapText="true" indent="0" shrinkToFit="false"/>
      <protection locked="true" hidden="false"/>
    </xf>
    <xf numFmtId="164" fontId="17" fillId="6" borderId="3" xfId="0" applyFont="true" applyBorder="true" applyAlignment="true" applyProtection="false">
      <alignment horizontal="left" vertical="bottom" textRotation="0" wrapText="true" indent="0" shrinkToFit="false"/>
      <protection locked="true" hidden="false"/>
    </xf>
    <xf numFmtId="164" fontId="15" fillId="10" borderId="0" xfId="0" applyFont="true" applyBorder="true" applyAlignment="false" applyProtection="false">
      <alignment horizontal="general" vertical="bottom" textRotation="0" wrapText="false" indent="0" shrinkToFit="false"/>
      <protection locked="true" hidden="false"/>
    </xf>
    <xf numFmtId="164" fontId="16" fillId="12" borderId="3" xfId="0" applyFont="true" applyBorder="true" applyAlignment="true" applyProtection="false">
      <alignment horizontal="center" vertical="bottom" textRotation="0" wrapText="false" indent="0" shrinkToFit="false"/>
      <protection locked="true" hidden="false"/>
    </xf>
    <xf numFmtId="164" fontId="17" fillId="11" borderId="3" xfId="0" applyFont="true" applyBorder="true" applyAlignment="false" applyProtection="false">
      <alignment horizontal="general" vertical="bottom" textRotation="0" wrapText="false" indent="0" shrinkToFit="false"/>
      <protection locked="true" hidden="false"/>
    </xf>
    <xf numFmtId="164" fontId="14" fillId="11" borderId="3" xfId="0" applyFont="true" applyBorder="true" applyAlignment="false" applyProtection="false">
      <alignment horizontal="general" vertical="bottom" textRotation="0" wrapText="false" indent="0" shrinkToFit="false"/>
      <protection locked="true" hidden="false"/>
    </xf>
    <xf numFmtId="164" fontId="17" fillId="6" borderId="3" xfId="0" applyFont="true" applyBorder="true" applyAlignment="false" applyProtection="false">
      <alignment horizontal="general" vertical="bottom" textRotation="0" wrapText="false" indent="0" shrinkToFit="false"/>
      <protection locked="true" hidden="false"/>
    </xf>
    <xf numFmtId="164" fontId="12" fillId="6" borderId="3" xfId="0" applyFont="true" applyBorder="true" applyAlignment="false" applyProtection="false">
      <alignment horizontal="general" vertical="bottom" textRotation="0" wrapText="false" indent="0" shrinkToFit="false"/>
      <protection locked="true" hidden="false"/>
    </xf>
    <xf numFmtId="164" fontId="14" fillId="6" borderId="3" xfId="0" applyFont="true" applyBorder="true" applyAlignment="false" applyProtection="false">
      <alignment horizontal="general" vertical="bottom" textRotation="0" wrapText="false" indent="0" shrinkToFit="false"/>
      <protection locked="true" hidden="false"/>
    </xf>
    <xf numFmtId="164" fontId="12" fillId="11" borderId="3" xfId="0" applyFont="true" applyBorder="true" applyAlignment="false" applyProtection="false">
      <alignment horizontal="general" vertical="bottom" textRotation="0" wrapText="false" indent="0" shrinkToFit="false"/>
      <protection locked="true" hidden="false"/>
    </xf>
    <xf numFmtId="164" fontId="18" fillId="4" borderId="3" xfId="0" applyFont="true" applyBorder="true" applyAlignment="true" applyProtection="false">
      <alignment horizontal="center" vertical="bottom" textRotation="0" wrapText="false" indent="0" shrinkToFit="false"/>
      <protection locked="true" hidden="false"/>
    </xf>
    <xf numFmtId="164" fontId="16" fillId="11" borderId="1" xfId="0" applyFont="true" applyBorder="true" applyAlignment="false" applyProtection="false">
      <alignment horizontal="general" vertical="bottom" textRotation="0" wrapText="false" indent="0" shrinkToFit="false"/>
      <protection locked="true" hidden="false"/>
    </xf>
    <xf numFmtId="164" fontId="17" fillId="11" borderId="1" xfId="0" applyFont="true" applyBorder="true" applyAlignment="true" applyProtection="false">
      <alignment horizontal="left" vertical="center" textRotation="0" wrapText="true" indent="0" shrinkToFit="false"/>
      <protection locked="true" hidden="false"/>
    </xf>
    <xf numFmtId="164" fontId="19" fillId="11" borderId="3" xfId="0" applyFont="true" applyBorder="true" applyAlignment="true" applyProtection="false">
      <alignment horizontal="center" vertical="bottom" textRotation="0" wrapText="false" indent="0" shrinkToFit="false"/>
      <protection locked="true" hidden="false"/>
    </xf>
    <xf numFmtId="164" fontId="16" fillId="6" borderId="1" xfId="0" applyFont="true" applyBorder="true" applyAlignment="false" applyProtection="false">
      <alignment horizontal="general" vertical="bottom" textRotation="0" wrapText="false" indent="0" shrinkToFit="false"/>
      <protection locked="true" hidden="false"/>
    </xf>
    <xf numFmtId="164" fontId="17" fillId="6" borderId="1" xfId="0" applyFont="true" applyBorder="true" applyAlignment="true" applyProtection="false">
      <alignment horizontal="left" vertical="center" textRotation="0" wrapText="true" indent="0" shrinkToFit="false"/>
      <protection locked="true" hidden="false"/>
    </xf>
    <xf numFmtId="164" fontId="19" fillId="6" borderId="3" xfId="0" applyFont="true" applyBorder="true" applyAlignment="true" applyProtection="false">
      <alignment horizontal="center" vertical="bottom" textRotation="0" wrapText="false" indent="0" shrinkToFit="false"/>
      <protection locked="true" hidden="false"/>
    </xf>
    <xf numFmtId="164" fontId="20" fillId="6" borderId="3" xfId="0" applyFont="true" applyBorder="true" applyAlignment="true" applyProtection="false">
      <alignment horizontal="center" vertical="bottom" textRotation="0" wrapText="false" indent="0" shrinkToFit="false"/>
      <protection locked="true" hidden="false"/>
    </xf>
    <xf numFmtId="164" fontId="16" fillId="12" borderId="3" xfId="0" applyFont="true" applyBorder="true" applyAlignment="false" applyProtection="false">
      <alignment horizontal="general" vertical="bottom" textRotation="0" wrapText="false" indent="0" shrinkToFit="false"/>
      <protection locked="true" hidden="false"/>
    </xf>
    <xf numFmtId="164" fontId="21" fillId="9" borderId="3" xfId="0" applyFont="true" applyBorder="true" applyAlignment="true" applyProtection="false">
      <alignment horizontal="center" vertical="center" textRotation="0" wrapText="true" indent="0" shrinkToFit="false"/>
      <protection locked="true" hidden="false"/>
    </xf>
    <xf numFmtId="164" fontId="16" fillId="11" borderId="3" xfId="0" applyFont="true" applyBorder="true" applyAlignment="false" applyProtection="false">
      <alignment horizontal="general" vertical="bottom" textRotation="0" wrapText="false" indent="0" shrinkToFit="false"/>
      <protection locked="true" hidden="false"/>
    </xf>
    <xf numFmtId="164" fontId="16" fillId="6" borderId="3" xfId="0" applyFont="true" applyBorder="true" applyAlignment="false" applyProtection="false">
      <alignment horizontal="general" vertical="bottom" textRotation="0" wrapText="false" indent="0" shrinkToFit="false"/>
      <protection locked="true" hidden="false"/>
    </xf>
    <xf numFmtId="164" fontId="22" fillId="6" borderId="3" xfId="0" applyFont="true" applyBorder="true" applyAlignment="true" applyProtection="false">
      <alignment horizontal="center" vertical="bottom" textRotation="0" wrapText="false" indent="0" shrinkToFit="false"/>
      <protection locked="true" hidden="false"/>
    </xf>
    <xf numFmtId="164" fontId="21" fillId="8" borderId="3" xfId="0" applyFont="true" applyBorder="true" applyAlignment="true" applyProtection="false">
      <alignment horizontal="center" vertical="center" textRotation="0" wrapText="true" indent="0" shrinkToFit="false"/>
      <protection locked="true" hidden="false"/>
    </xf>
    <xf numFmtId="164" fontId="20" fillId="11" borderId="3" xfId="0" applyFont="true" applyBorder="true" applyAlignment="true" applyProtection="false">
      <alignment horizontal="center" vertical="bottom" textRotation="0" wrapText="false" indent="0" shrinkToFit="false"/>
      <protection locked="true" hidden="false"/>
    </xf>
    <xf numFmtId="164" fontId="21" fillId="10" borderId="3" xfId="0" applyFont="true" applyBorder="true" applyAlignment="true" applyProtection="false">
      <alignment horizontal="center" vertical="center" textRotation="0" wrapText="true" indent="0" shrinkToFit="false"/>
      <protection locked="true" hidden="false"/>
    </xf>
    <xf numFmtId="164" fontId="22" fillId="11" borderId="3" xfId="0" applyFont="true" applyBorder="true" applyAlignment="true" applyProtection="false">
      <alignment horizontal="center" vertical="bottom" textRotation="0" wrapText="false" indent="0" shrinkToFit="false"/>
      <protection locked="true" hidden="false"/>
    </xf>
    <xf numFmtId="164" fontId="17" fillId="13" borderId="1" xfId="0" applyFont="true" applyBorder="true" applyAlignment="true" applyProtection="false">
      <alignment horizontal="left" vertical="center" textRotation="0" wrapText="true" indent="0" shrinkToFit="false"/>
      <protection locked="true" hidden="false"/>
    </xf>
    <xf numFmtId="164" fontId="23" fillId="2" borderId="0" xfId="0" applyFont="true" applyBorder="true" applyAlignment="true" applyProtection="false">
      <alignment horizontal="left" vertical="center"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5" fillId="2" borderId="0" xfId="0" applyFont="true" applyBorder="true" applyAlignment="true" applyProtection="false">
      <alignment horizontal="left" vertical="center" textRotation="0" wrapText="false" indent="0" shrinkToFit="false"/>
      <protection locked="true" hidden="false"/>
    </xf>
    <xf numFmtId="164" fontId="26" fillId="4" borderId="3" xfId="0" applyFont="true" applyBorder="true" applyAlignment="true" applyProtection="false">
      <alignment horizontal="center" vertical="center" textRotation="0" wrapText="true" indent="0" shrinkToFit="false"/>
      <protection locked="true" hidden="false"/>
    </xf>
    <xf numFmtId="164" fontId="17" fillId="11" borderId="3" xfId="0" applyFont="true" applyBorder="true" applyAlignment="true" applyProtection="false">
      <alignment horizontal="left" vertical="center" textRotation="0" wrapText="true" indent="0" shrinkToFit="false"/>
      <protection locked="true" hidden="false"/>
    </xf>
    <xf numFmtId="164" fontId="17" fillId="11" borderId="3" xfId="0" applyFont="true" applyBorder="true" applyAlignment="true" applyProtection="false">
      <alignment horizontal="center" vertical="center" textRotation="0" wrapText="true" indent="0" shrinkToFit="false"/>
      <protection locked="true" hidden="false"/>
    </xf>
    <xf numFmtId="164" fontId="17" fillId="6" borderId="3" xfId="0" applyFont="true" applyBorder="true" applyAlignment="true" applyProtection="false">
      <alignment horizontal="left" vertical="center" textRotation="0" wrapText="true" indent="0" shrinkToFit="false"/>
      <protection locked="true" hidden="false"/>
    </xf>
    <xf numFmtId="164" fontId="17" fillId="6" borderId="3" xfId="0" applyFont="true" applyBorder="true" applyAlignment="true" applyProtection="false">
      <alignment horizontal="center" vertical="center" textRotation="0" wrapText="true" indent="0" shrinkToFit="false"/>
      <protection locked="true" hidden="false"/>
    </xf>
    <xf numFmtId="164" fontId="12" fillId="11" borderId="3" xfId="0" applyFont="true" applyBorder="true" applyAlignment="true" applyProtection="false">
      <alignment horizontal="left" vertical="center" textRotation="0" wrapText="true" indent="0" shrinkToFit="false"/>
      <protection locked="true" hidden="false"/>
    </xf>
    <xf numFmtId="164" fontId="27" fillId="6" borderId="3" xfId="0" applyFont="true" applyBorder="true" applyAlignment="true" applyProtection="false">
      <alignment horizontal="left" vertical="center" textRotation="0" wrapText="true" indent="0" shrinkToFit="false"/>
      <protection locked="true" hidden="false"/>
    </xf>
    <xf numFmtId="164" fontId="12" fillId="6" borderId="3" xfId="0" applyFont="true" applyBorder="true" applyAlignment="true" applyProtection="false">
      <alignment horizontal="left" vertical="center" textRotation="0" wrapText="true" indent="0" shrinkToFit="false"/>
      <protection locked="true" hidden="false"/>
    </xf>
    <xf numFmtId="164" fontId="28" fillId="14" borderId="1" xfId="0" applyFont="true" applyBorder="true" applyAlignment="true" applyProtection="false">
      <alignment horizontal="left" vertical="center" textRotation="0" wrapText="true" indent="0" shrinkToFit="false"/>
      <protection locked="true" hidden="false"/>
    </xf>
    <xf numFmtId="164" fontId="17" fillId="3" borderId="3" xfId="0" applyFont="true" applyBorder="true" applyAlignment="true" applyProtection="false">
      <alignment horizontal="left" vertical="center" textRotation="0" wrapText="true" indent="0" shrinkToFit="false"/>
      <protection locked="true" hidden="false"/>
    </xf>
    <xf numFmtId="164" fontId="17" fillId="15" borderId="3" xfId="0" applyFont="true" applyBorder="true" applyAlignment="true" applyProtection="false">
      <alignment horizontal="left" vertical="center" textRotation="0" wrapText="true" indent="0" shrinkToFit="false"/>
      <protection locked="true" hidden="false"/>
    </xf>
    <xf numFmtId="164" fontId="17" fillId="14" borderId="3" xfId="0" applyFont="true" applyBorder="true" applyAlignment="true" applyProtection="false">
      <alignment horizontal="left" vertical="center" textRotation="0" wrapText="true" indent="0" shrinkToFit="false"/>
      <protection locked="true" hidden="false"/>
    </xf>
    <xf numFmtId="164" fontId="29" fillId="11" borderId="3" xfId="0" applyFont="true" applyBorder="true" applyAlignment="true" applyProtection="false">
      <alignment horizontal="center" vertical="bottom" textRotation="0" wrapText="false" indent="0" shrinkToFit="false"/>
      <protection locked="true" hidden="false"/>
    </xf>
    <xf numFmtId="165" fontId="29" fillId="11" borderId="3" xfId="0" applyFont="true" applyBorder="true" applyAlignment="false" applyProtection="false">
      <alignment horizontal="general" vertical="bottom" textRotation="0" wrapText="false" indent="0" shrinkToFit="false"/>
      <protection locked="true" hidden="false"/>
    </xf>
    <xf numFmtId="164" fontId="29" fillId="11" borderId="3" xfId="0" applyFont="true" applyBorder="true" applyAlignment="false" applyProtection="false">
      <alignment horizontal="general" vertical="bottom" textRotation="0" wrapText="false" indent="0" shrinkToFit="false"/>
      <protection locked="true" hidden="false"/>
    </xf>
    <xf numFmtId="164" fontId="29" fillId="6" borderId="3" xfId="0" applyFont="true" applyBorder="true" applyAlignment="true" applyProtection="false">
      <alignment horizontal="center" vertical="bottom" textRotation="0" wrapText="false" indent="0" shrinkToFit="false"/>
      <protection locked="true" hidden="false"/>
    </xf>
    <xf numFmtId="165" fontId="29" fillId="6" borderId="3" xfId="0" applyFont="true" applyBorder="true" applyAlignment="false" applyProtection="false">
      <alignment horizontal="general" vertical="bottom" textRotation="0" wrapText="false" indent="0" shrinkToFit="false"/>
      <protection locked="true" hidden="false"/>
    </xf>
    <xf numFmtId="166" fontId="29" fillId="6" borderId="3" xfId="0" applyFont="true" applyBorder="true" applyAlignment="false" applyProtection="false">
      <alignment horizontal="general" vertical="bottom" textRotation="0" wrapText="false" indent="0" shrinkToFit="false"/>
      <protection locked="true" hidden="false"/>
    </xf>
    <xf numFmtId="166" fontId="29" fillId="11" borderId="3" xfId="0" applyFont="true" applyBorder="true" applyAlignment="false" applyProtection="false">
      <alignment horizontal="general" vertical="bottom" textRotation="0" wrapText="false" indent="0" shrinkToFit="false"/>
      <protection locked="true" hidden="false"/>
    </xf>
    <xf numFmtId="164" fontId="30" fillId="3" borderId="3" xfId="0" applyFont="true" applyBorder="true" applyAlignment="true" applyProtection="false">
      <alignment horizontal="right" vertical="bottom" textRotation="0" wrapText="false" indent="0" shrinkToFit="false"/>
      <protection locked="true" hidden="false"/>
    </xf>
    <xf numFmtId="164" fontId="30" fillId="3" borderId="3" xfId="0" applyFont="true" applyBorder="true" applyAlignment="false" applyProtection="false">
      <alignment horizontal="general" vertical="bottom" textRotation="0" wrapText="false" indent="0" shrinkToFit="false"/>
      <protection locked="true" hidden="false"/>
    </xf>
    <xf numFmtId="166" fontId="30" fillId="3" borderId="3" xfId="0" applyFont="true" applyBorder="true" applyAlignment="false" applyProtection="false">
      <alignment horizontal="general" vertical="bottom" textRotation="0" wrapText="false" indent="0" shrinkToFit="false"/>
      <protection locked="true" hidden="false"/>
    </xf>
    <xf numFmtId="164" fontId="29" fillId="6" borderId="3" xfId="0" applyFont="true" applyBorder="true" applyAlignment="false" applyProtection="false">
      <alignment horizontal="general" vertical="bottom" textRotation="0" wrapText="false" indent="0" shrinkToFit="false"/>
      <protection locked="true" hidden="false"/>
    </xf>
    <xf numFmtId="165" fontId="30" fillId="3" borderId="3" xfId="0" applyFont="true" applyBorder="true" applyAlignment="false" applyProtection="false">
      <alignment horizontal="general" vertical="bottom" textRotation="0" wrapText="false" indent="0" shrinkToFit="false"/>
      <protection locked="true" hidden="false"/>
    </xf>
    <xf numFmtId="164" fontId="17" fillId="3" borderId="3" xfId="0" applyFont="true" applyBorder="true" applyAlignment="true" applyProtection="false">
      <alignment horizontal="left" vertical="center" textRotation="0" wrapText="false" indent="0" shrinkToFit="false"/>
      <protection locked="true" hidden="false"/>
    </xf>
    <xf numFmtId="165" fontId="17" fillId="3" borderId="3" xfId="0" applyFont="true" applyBorder="true" applyAlignment="true" applyProtection="false">
      <alignment horizontal="right" vertical="center" textRotation="0" wrapText="false" indent="0" shrinkToFit="false"/>
      <protection locked="true" hidden="false"/>
    </xf>
    <xf numFmtId="167" fontId="17" fillId="3" borderId="3" xfId="0" applyFont="true" applyBorder="true" applyAlignment="true" applyProtection="false">
      <alignment horizontal="right" vertical="center" textRotation="0" wrapText="false" indent="0" shrinkToFit="false"/>
      <protection locked="true" hidden="false"/>
    </xf>
    <xf numFmtId="166" fontId="17" fillId="3" borderId="3" xfId="0" applyFont="true" applyBorder="true" applyAlignment="true" applyProtection="false">
      <alignment horizontal="right" vertical="center" textRotation="0" wrapText="false" indent="0" shrinkToFit="false"/>
      <protection locked="true" hidden="false"/>
    </xf>
    <xf numFmtId="164" fontId="17" fillId="15" borderId="3" xfId="0" applyFont="true" applyBorder="true" applyAlignment="true" applyProtection="false">
      <alignment horizontal="left" vertical="center" textRotation="0" wrapText="false" indent="0" shrinkToFit="false"/>
      <protection locked="true" hidden="false"/>
    </xf>
    <xf numFmtId="165" fontId="17" fillId="15" borderId="3" xfId="0" applyFont="true" applyBorder="true" applyAlignment="true" applyProtection="false">
      <alignment horizontal="right" vertical="center" textRotation="0" wrapText="false" indent="0" shrinkToFit="false"/>
      <protection locked="true" hidden="false"/>
    </xf>
    <xf numFmtId="167" fontId="17" fillId="15" borderId="3" xfId="0" applyFont="true" applyBorder="true" applyAlignment="true" applyProtection="false">
      <alignment horizontal="right" vertical="center" textRotation="0" wrapText="false" indent="0" shrinkToFit="false"/>
      <protection locked="true" hidden="false"/>
    </xf>
    <xf numFmtId="166" fontId="17" fillId="15" borderId="3" xfId="0" applyFont="true" applyBorder="true" applyAlignment="true" applyProtection="false">
      <alignment horizontal="right" vertical="center" textRotation="0" wrapText="false" indent="0" shrinkToFit="false"/>
      <protection locked="true" hidden="false"/>
    </xf>
    <xf numFmtId="164" fontId="17" fillId="14" borderId="3" xfId="0" applyFont="true" applyBorder="true" applyAlignment="true" applyProtection="false">
      <alignment horizontal="left" vertical="center" textRotation="0" wrapText="false" indent="0" shrinkToFit="false"/>
      <protection locked="true" hidden="false"/>
    </xf>
    <xf numFmtId="165" fontId="17" fillId="14" borderId="3" xfId="0" applyFont="true" applyBorder="true" applyAlignment="true" applyProtection="false">
      <alignment horizontal="right" vertical="center" textRotation="0" wrapText="false" indent="0" shrinkToFit="false"/>
      <protection locked="true" hidden="false"/>
    </xf>
    <xf numFmtId="167" fontId="17" fillId="14" borderId="3" xfId="0" applyFont="true" applyBorder="true" applyAlignment="true" applyProtection="false">
      <alignment horizontal="right" vertical="center" textRotation="0" wrapText="false" indent="0" shrinkToFit="false"/>
      <protection locked="true" hidden="false"/>
    </xf>
    <xf numFmtId="166" fontId="17" fillId="14" borderId="3" xfId="0" applyFont="true" applyBorder="true" applyAlignment="true" applyProtection="false">
      <alignment horizontal="right" vertical="center" textRotation="0" wrapText="false" indent="0" shrinkToFit="false"/>
      <protection locked="true" hidden="false"/>
    </xf>
    <xf numFmtId="164" fontId="17" fillId="14" borderId="3" xfId="0" applyFont="true" applyBorder="true" applyAlignment="false" applyProtection="false">
      <alignment horizontal="general" vertical="bottom" textRotation="0" wrapText="false" indent="0" shrinkToFit="false"/>
      <protection locked="true" hidden="false"/>
    </xf>
    <xf numFmtId="166" fontId="17" fillId="14" borderId="3" xfId="0" applyFont="true" applyBorder="true" applyAlignment="false" applyProtection="false">
      <alignment horizontal="general" vertical="bottom" textRotation="0" wrapText="false" indent="0" shrinkToFit="false"/>
      <protection locked="true" hidden="false"/>
    </xf>
    <xf numFmtId="168" fontId="17" fillId="14" borderId="3" xfId="0" applyFont="true" applyBorder="true" applyAlignment="false" applyProtection="false">
      <alignment horizontal="general" vertical="bottom" textRotation="0" wrapText="false" indent="0" shrinkToFit="false"/>
      <protection locked="true" hidden="false"/>
    </xf>
    <xf numFmtId="165" fontId="17" fillId="14" borderId="3" xfId="0" applyFont="true" applyBorder="true" applyAlignment="false" applyProtection="false">
      <alignment horizontal="general" vertical="bottom" textRotation="0" wrapText="false" indent="0" shrinkToFit="false"/>
      <protection locked="true" hidden="false"/>
    </xf>
    <xf numFmtId="169" fontId="17" fillId="14" borderId="3" xfId="0" applyFont="true" applyBorder="true" applyAlignment="false" applyProtection="false">
      <alignment horizontal="general" vertical="bottom" textRotation="0" wrapText="false" indent="0" shrinkToFit="false"/>
      <protection locked="true" hidden="false"/>
    </xf>
    <xf numFmtId="170" fontId="17" fillId="14" borderId="3" xfId="0" applyFont="true" applyBorder="true" applyAlignment="false" applyProtection="false">
      <alignment horizontal="general" vertical="bottom" textRotation="0" wrapText="false" indent="0" shrinkToFit="false"/>
      <protection locked="true" hidden="false"/>
    </xf>
    <xf numFmtId="164" fontId="12" fillId="15" borderId="3" xfId="0" applyFont="true" applyBorder="true" applyAlignment="false" applyProtection="false">
      <alignment horizontal="general" vertical="bottom" textRotation="0" wrapText="false" indent="0" shrinkToFit="false"/>
      <protection locked="true" hidden="false"/>
    </xf>
    <xf numFmtId="164" fontId="17" fillId="15" borderId="3" xfId="0" applyFont="true" applyBorder="true" applyAlignment="false" applyProtection="false">
      <alignment horizontal="general" vertical="bottom" textRotation="0" wrapText="false" indent="0" shrinkToFit="false"/>
      <protection locked="true" hidden="false"/>
    </xf>
    <xf numFmtId="166" fontId="17" fillId="15" borderId="3" xfId="0" applyFont="true" applyBorder="true" applyAlignment="false" applyProtection="false">
      <alignment horizontal="general" vertical="bottom" textRotation="0" wrapText="false" indent="0" shrinkToFit="false"/>
      <protection locked="true" hidden="false"/>
    </xf>
    <xf numFmtId="168" fontId="17" fillId="15" borderId="3" xfId="0" applyFont="true" applyBorder="true" applyAlignment="false" applyProtection="false">
      <alignment horizontal="general" vertical="bottom" textRotation="0" wrapText="false" indent="0" shrinkToFit="false"/>
      <protection locked="true" hidden="false"/>
    </xf>
    <xf numFmtId="165" fontId="17" fillId="15" borderId="3" xfId="0" applyFont="true" applyBorder="true" applyAlignment="false" applyProtection="false">
      <alignment horizontal="general" vertical="bottom" textRotation="0" wrapText="false" indent="0" shrinkToFit="false"/>
      <protection locked="true" hidden="false"/>
    </xf>
    <xf numFmtId="169" fontId="17" fillId="15" borderId="3" xfId="0" applyFont="true" applyBorder="true" applyAlignment="false" applyProtection="false">
      <alignment horizontal="general" vertical="bottom" textRotation="0" wrapText="false" indent="0" shrinkToFit="false"/>
      <protection locked="true" hidden="false"/>
    </xf>
    <xf numFmtId="170" fontId="17" fillId="15" borderId="3" xfId="0" applyFont="true" applyBorder="true" applyAlignment="false" applyProtection="false">
      <alignment horizontal="general" vertical="bottom" textRotation="0" wrapText="false" indent="0" shrinkToFit="false"/>
      <protection locked="true" hidden="false"/>
    </xf>
    <xf numFmtId="164" fontId="14" fillId="15" borderId="3" xfId="0" applyFont="true" applyBorder="true" applyAlignment="false" applyProtection="false">
      <alignment horizontal="general" vertical="bottom" textRotation="0" wrapText="false" indent="0" shrinkToFit="false"/>
      <protection locked="true" hidden="false"/>
    </xf>
    <xf numFmtId="164" fontId="17" fillId="3" borderId="3" xfId="0" applyFont="true" applyBorder="true" applyAlignment="false" applyProtection="false">
      <alignment horizontal="general" vertical="bottom" textRotation="0" wrapText="false" indent="0" shrinkToFit="false"/>
      <protection locked="true" hidden="false"/>
    </xf>
    <xf numFmtId="166" fontId="17" fillId="3" borderId="3" xfId="0" applyFont="true" applyBorder="true" applyAlignment="false" applyProtection="false">
      <alignment horizontal="general" vertical="bottom" textRotation="0" wrapText="false" indent="0" shrinkToFit="false"/>
      <protection locked="true" hidden="false"/>
    </xf>
    <xf numFmtId="168" fontId="17" fillId="3" borderId="3" xfId="0" applyFont="true" applyBorder="true" applyAlignment="false" applyProtection="false">
      <alignment horizontal="general" vertical="bottom" textRotation="0" wrapText="false" indent="0" shrinkToFit="false"/>
      <protection locked="true" hidden="false"/>
    </xf>
    <xf numFmtId="165" fontId="17" fillId="3" borderId="3" xfId="0" applyFont="true" applyBorder="true" applyAlignment="false" applyProtection="false">
      <alignment horizontal="general" vertical="bottom" textRotation="0" wrapText="false" indent="0" shrinkToFit="false"/>
      <protection locked="true" hidden="false"/>
    </xf>
    <xf numFmtId="169" fontId="17" fillId="3" borderId="3" xfId="0" applyFont="true" applyBorder="true" applyAlignment="false" applyProtection="false">
      <alignment horizontal="general" vertical="bottom" textRotation="0" wrapText="false" indent="0" shrinkToFit="false"/>
      <protection locked="true" hidden="false"/>
    </xf>
    <xf numFmtId="170" fontId="17" fillId="3" borderId="3" xfId="0" applyFont="true" applyBorder="true" applyAlignment="false" applyProtection="false">
      <alignment horizontal="general" vertical="bottom" textRotation="0" wrapText="false" indent="0" shrinkToFit="false"/>
      <protection locked="true" hidden="false"/>
    </xf>
    <xf numFmtId="164" fontId="14" fillId="3" borderId="3"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8" fontId="29" fillId="16" borderId="3" xfId="0" applyFont="true" applyBorder="true" applyAlignment="false" applyProtection="false">
      <alignment horizontal="general" vertical="bottom" textRotation="0" wrapText="false" indent="0" shrinkToFit="false"/>
      <protection locked="true" hidden="false"/>
    </xf>
    <xf numFmtId="168" fontId="29" fillId="17" borderId="3" xfId="0" applyFont="true" applyBorder="true" applyAlignment="false" applyProtection="false">
      <alignment horizontal="general" vertical="bottom" textRotation="0" wrapText="false" indent="0" shrinkToFit="false"/>
      <protection locked="true" hidden="false"/>
    </xf>
    <xf numFmtId="168" fontId="29" fillId="15" borderId="3" xfId="0" applyFont="true" applyBorder="true" applyAlignment="false" applyProtection="false">
      <alignment horizontal="general" vertical="bottom" textRotation="0" wrapText="false" indent="0" shrinkToFit="false"/>
      <protection locked="true" hidden="false"/>
    </xf>
    <xf numFmtId="168" fontId="29" fillId="18" borderId="3" xfId="0" applyFont="true" applyBorder="true" applyAlignment="false" applyProtection="false">
      <alignment horizontal="general" vertical="bottom" textRotation="0" wrapText="false" indent="0" shrinkToFit="false"/>
      <protection locked="true" hidden="false"/>
    </xf>
    <xf numFmtId="165" fontId="17" fillId="11" borderId="3" xfId="0" applyFont="true" applyBorder="true" applyAlignment="false" applyProtection="false">
      <alignment horizontal="general" vertical="bottom" textRotation="0" wrapText="false" indent="0" shrinkToFit="false"/>
      <protection locked="true" hidden="false"/>
    </xf>
    <xf numFmtId="165" fontId="17" fillId="6" borderId="3" xfId="0" applyFont="true" applyBorder="true" applyAlignment="false" applyProtection="false">
      <alignment horizontal="general" vertical="bottom" textRotation="0" wrapText="false" indent="0" shrinkToFit="false"/>
      <protection locked="true" hidden="false"/>
    </xf>
    <xf numFmtId="166" fontId="17" fillId="11" borderId="3" xfId="0" applyFont="true" applyBorder="true" applyAlignment="false" applyProtection="false">
      <alignment horizontal="general" vertical="bottom" textRotation="0" wrapText="false" indent="0" shrinkToFit="false"/>
      <protection locked="true" hidden="false"/>
    </xf>
    <xf numFmtId="166" fontId="17" fillId="6" borderId="3" xfId="0" applyFont="true" applyBorder="true" applyAlignment="false" applyProtection="false">
      <alignment horizontal="general" vertical="bottom" textRotation="0" wrapText="false" indent="0" shrinkToFit="false"/>
      <protection locked="true" hidden="false"/>
    </xf>
    <xf numFmtId="168" fontId="17" fillId="11" borderId="3" xfId="0" applyFont="true" applyBorder="true" applyAlignment="false" applyProtection="false">
      <alignment horizontal="general" vertical="bottom" textRotation="0" wrapText="false" indent="0" shrinkToFit="false"/>
      <protection locked="true" hidden="false"/>
    </xf>
    <xf numFmtId="171" fontId="17" fillId="11" borderId="3" xfId="0" applyFont="true" applyBorder="true" applyAlignment="false" applyProtection="false">
      <alignment horizontal="general" vertical="bottom" textRotation="0" wrapText="false" indent="0" shrinkToFit="false"/>
      <protection locked="true" hidden="false"/>
    </xf>
    <xf numFmtId="168" fontId="17" fillId="6" borderId="3" xfId="0" applyFont="true" applyBorder="true" applyAlignment="false" applyProtection="false">
      <alignment horizontal="general" vertical="bottom" textRotation="0" wrapText="false" indent="0" shrinkToFit="false"/>
      <protection locked="true" hidden="false"/>
    </xf>
    <xf numFmtId="171" fontId="17" fillId="6" borderId="3" xfId="0" applyFont="true" applyBorder="true" applyAlignment="false" applyProtection="false">
      <alignment horizontal="general" vertical="bottom" textRotation="0" wrapText="false" indent="0" shrinkToFit="false"/>
      <protection locked="true" hidden="false"/>
    </xf>
    <xf numFmtId="164" fontId="6" fillId="14" borderId="1" xfId="0" applyFont="true" applyBorder="true" applyAlignment="true" applyProtection="false">
      <alignment horizontal="left" vertical="center" textRotation="0" wrapText="false" indent="0" shrinkToFit="false"/>
      <protection locked="true" hidden="false"/>
    </xf>
    <xf numFmtId="164" fontId="28" fillId="19"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DE7"/>
      <rgbColor rgb="FFFF00FF"/>
      <rgbColor rgb="FF00FFFF"/>
      <rgbColor rgb="FF800000"/>
      <rgbColor rgb="FF008000"/>
      <rgbColor rgb="FF000080"/>
      <rgbColor rgb="FF7F6000"/>
      <rgbColor rgb="FF800080"/>
      <rgbColor rgb="FF008080"/>
      <rgbColor rgb="FFCCCCCC"/>
      <rgbColor rgb="FF878787"/>
      <rgbColor rgb="FF888888"/>
      <rgbColor rgb="FF993366"/>
      <rgbColor rgb="FFFFFFCC"/>
      <rgbColor rgb="FFDAEE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0F8FF"/>
      <rgbColor rgb="FFE2EFDA"/>
      <rgbColor rgb="FFFFF2CC"/>
      <rgbColor rgb="FFF5F5F5"/>
      <rgbColor rgb="FFFFE6CC"/>
      <rgbColor rgb="FFF9F9F9"/>
      <rgbColor rgb="FFFFCCCC"/>
      <rgbColor rgb="FF2E5BBA"/>
      <rgbColor rgb="FF33CCCC"/>
      <rgbColor rgb="FF99CC00"/>
      <rgbColor rgb="FFFFC000"/>
      <rgbColor rgb="FFFF9900"/>
      <rgbColor rgb="FFC55A11"/>
      <rgbColor rgb="FF666666"/>
      <rgbColor rgb="FF999999"/>
      <rgbColor rgb="FF1F3864"/>
      <rgbColor rgb="FF70AD47"/>
      <rgbColor rgb="FF375623"/>
      <rgbColor rgb="FF1A2744"/>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Gross Premium Growth (₹ Crore)</a:t>
            </a:r>
          </a:p>
        </c:rich>
      </c:tx>
      <c:overlay val="0"/>
      <c:spPr>
        <a:noFill/>
        <a:ln w="0">
          <a:noFill/>
        </a:ln>
      </c:spPr>
    </c:title>
    <c:autoTitleDeleted val="0"/>
    <c:plotArea>
      <c:lineChart>
        <c:grouping val="standard"/>
        <c:varyColors val="0"/>
        <c:ser>
          <c:idx val="0"/>
          <c:order val="0"/>
          <c:tx>
            <c:strRef>
              <c:f>03_Exploratory_Analysis!F4</c:f>
              <c:strCache>
                <c:ptCount val="1"/>
                <c:pt idx="0">
                  <c:v>Gross Premium (₹ Cr)</c:v>
                </c:pt>
              </c:strCache>
            </c:strRef>
          </c:tx>
          <c:spPr>
            <a:solidFill>
              <a:srgbClr val="2e5bba"/>
            </a:solidFill>
            <a:ln w="20160">
              <a:solidFill>
                <a:srgbClr val="2e5bb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03_Exploratory_Analysis!$B$5:$B$13</c:f>
              <c:strCache>
                <c:ptCount val="9"/>
                <c:pt idx="0">
                  <c:v>2013-14</c:v>
                </c:pt>
                <c:pt idx="1">
                  <c:v>2014-15</c:v>
                </c:pt>
                <c:pt idx="2">
                  <c:v>2015-16</c:v>
                </c:pt>
                <c:pt idx="3">
                  <c:v>2016-17</c:v>
                </c:pt>
                <c:pt idx="4">
                  <c:v>2017-18</c:v>
                </c:pt>
                <c:pt idx="5">
                  <c:v>2018-19</c:v>
                </c:pt>
                <c:pt idx="6">
                  <c:v>2019-20</c:v>
                </c:pt>
                <c:pt idx="7">
                  <c:v>2020-21</c:v>
                </c:pt>
                <c:pt idx="8">
                  <c:v>2021-22</c:v>
                </c:pt>
              </c:strCache>
            </c:strRef>
          </c:cat>
          <c:val>
            <c:numRef>
              <c:f>03_Exploratory_Analysis!$F$5:$F$13</c:f>
              <c:numCache>
                <c:formatCode>#,##0</c:formatCode>
                <c:ptCount val="9"/>
                <c:pt idx="0">
                  <c:v>17494.54</c:v>
                </c:pt>
                <c:pt idx="1">
                  <c:v>19837.89</c:v>
                </c:pt>
                <c:pt idx="2">
                  <c:v>24447.54</c:v>
                </c:pt>
                <c:pt idx="3">
                  <c:v>30391.71</c:v>
                </c:pt>
                <c:pt idx="4">
                  <c:v>37028.64</c:v>
                </c:pt>
                <c:pt idx="5">
                  <c:v>44872.76</c:v>
                </c:pt>
                <c:pt idx="6">
                  <c:v>50758.07</c:v>
                </c:pt>
                <c:pt idx="7">
                  <c:v>58237.86</c:v>
                </c:pt>
                <c:pt idx="8">
                  <c:v>73051.52</c:v>
                </c:pt>
              </c:numCache>
            </c:numRef>
          </c:val>
          <c:smooth val="1"/>
        </c:ser>
        <c:hiLowLines>
          <c:spPr>
            <a:ln w="0">
              <a:noFill/>
            </a:ln>
          </c:spPr>
        </c:hiLowLines>
        <c:marker val="0"/>
        <c:axId val="52751808"/>
        <c:axId val="8554848"/>
      </c:lineChart>
      <c:catAx>
        <c:axId val="5275180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Financial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54848"/>
        <c:crosses val="autoZero"/>
        <c:auto val="1"/>
        <c:lblAlgn val="ctr"/>
        <c:lblOffset val="100"/>
        <c:noMultiLvlLbl val="0"/>
      </c:catAx>
      <c:valAx>
        <c:axId val="855484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Crore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75180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Health Insurance Premium by Category (FY14–FY22)</a:t>
            </a:r>
          </a:p>
        </c:rich>
      </c:tx>
      <c:overlay val="0"/>
      <c:spPr>
        <a:noFill/>
        <a:ln w="0">
          <a:noFill/>
        </a:ln>
      </c:spPr>
    </c:title>
    <c:autoTitleDeleted val="0"/>
    <c:plotArea>
      <c:barChart>
        <c:barDir val="col"/>
        <c:grouping val="stacked"/>
        <c:varyColors val="0"/>
        <c:ser>
          <c:idx val="0"/>
          <c:order val="0"/>
          <c:tx>
            <c:strRef>
              <c:f>'05_Charts_&amp;_Insights'!C4</c:f>
              <c:strCache>
                <c:ptCount val="1"/>
                <c:pt idx="0">
                  <c:v>PSU (₹ Cr)</c:v>
                </c:pt>
              </c:strCache>
            </c:strRef>
          </c:tx>
          <c:spPr>
            <a:solidFill>
              <a:srgbClr val="2e5bba"/>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'05_Charts_&amp;_Insights'!$B$5:$B$13</c:f>
              <c:strCache>
                <c:ptCount val="9"/>
                <c:pt idx="0">
                  <c:v>2013-14</c:v>
                </c:pt>
                <c:pt idx="1">
                  <c:v>2014-15</c:v>
                </c:pt>
                <c:pt idx="2">
                  <c:v>2015-16</c:v>
                </c:pt>
                <c:pt idx="3">
                  <c:v>2016-17</c:v>
                </c:pt>
                <c:pt idx="4">
                  <c:v>2017-18</c:v>
                </c:pt>
                <c:pt idx="5">
                  <c:v>2018-19</c:v>
                </c:pt>
                <c:pt idx="6">
                  <c:v>2019-20</c:v>
                </c:pt>
                <c:pt idx="7">
                  <c:v>2020-21</c:v>
                </c:pt>
                <c:pt idx="8">
                  <c:v>2021-22</c:v>
                </c:pt>
              </c:strCache>
            </c:strRef>
          </c:cat>
          <c:val>
            <c:numRef>
              <c:f>'05_Charts_&amp;_Insights'!$C$5:$C$13</c:f>
              <c:numCache>
                <c:formatCode>#,##0</c:formatCode>
                <c:ptCount val="9"/>
                <c:pt idx="0">
                  <c:v>10841</c:v>
                </c:pt>
                <c:pt idx="1">
                  <c:v>12882</c:v>
                </c:pt>
                <c:pt idx="2">
                  <c:v>15591</c:v>
                </c:pt>
                <c:pt idx="3">
                  <c:v>19227</c:v>
                </c:pt>
                <c:pt idx="4">
                  <c:v>21509</c:v>
                </c:pt>
                <c:pt idx="5">
                  <c:v>23536</c:v>
                </c:pt>
                <c:pt idx="6">
                  <c:v>24632</c:v>
                </c:pt>
                <c:pt idx="7">
                  <c:v>27228</c:v>
                </c:pt>
                <c:pt idx="8">
                  <c:v>32943</c:v>
                </c:pt>
              </c:numCache>
            </c:numRef>
          </c:val>
        </c:ser>
        <c:ser>
          <c:idx val="1"/>
          <c:order val="1"/>
          <c:tx>
            <c:strRef>
              <c:f>'05_Charts_&amp;_Insights'!D4</c:f>
              <c:strCache>
                <c:ptCount val="1"/>
                <c:pt idx="0">
                  <c:v>Private (₹ Cr)</c:v>
                </c:pt>
              </c:strCache>
            </c:strRef>
          </c:tx>
          <c:spPr>
            <a:solidFill>
              <a:srgbClr val="70ad47"/>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'05_Charts_&amp;_Insights'!$B$5:$B$13</c:f>
              <c:strCache>
                <c:ptCount val="9"/>
                <c:pt idx="0">
                  <c:v>2013-14</c:v>
                </c:pt>
                <c:pt idx="1">
                  <c:v>2014-15</c:v>
                </c:pt>
                <c:pt idx="2">
                  <c:v>2015-16</c:v>
                </c:pt>
                <c:pt idx="3">
                  <c:v>2016-17</c:v>
                </c:pt>
                <c:pt idx="4">
                  <c:v>2017-18</c:v>
                </c:pt>
                <c:pt idx="5">
                  <c:v>2018-19</c:v>
                </c:pt>
                <c:pt idx="6">
                  <c:v>2019-20</c:v>
                </c:pt>
                <c:pt idx="7">
                  <c:v>2020-21</c:v>
                </c:pt>
                <c:pt idx="8">
                  <c:v>2021-22</c:v>
                </c:pt>
              </c:strCache>
            </c:strRef>
          </c:cat>
          <c:val>
            <c:numRef>
              <c:f>'05_Charts_&amp;_Insights'!$D$5:$D$13</c:f>
              <c:numCache>
                <c:formatCode>#,##0</c:formatCode>
                <c:ptCount val="9"/>
                <c:pt idx="0">
                  <c:v>4482</c:v>
                </c:pt>
                <c:pt idx="1">
                  <c:v>4386</c:v>
                </c:pt>
                <c:pt idx="2">
                  <c:v>4911</c:v>
                </c:pt>
                <c:pt idx="3">
                  <c:v>5632</c:v>
                </c:pt>
                <c:pt idx="4">
                  <c:v>7689</c:v>
                </c:pt>
                <c:pt idx="5">
                  <c:v>10655</c:v>
                </c:pt>
                <c:pt idx="6">
                  <c:v>12391</c:v>
                </c:pt>
                <c:pt idx="7">
                  <c:v>15875</c:v>
                </c:pt>
                <c:pt idx="8">
                  <c:v>20107</c:v>
                </c:pt>
              </c:numCache>
            </c:numRef>
          </c:val>
        </c:ser>
        <c:ser>
          <c:idx val="2"/>
          <c:order val="2"/>
          <c:tx>
            <c:strRef>
              <c:f>'05_Charts_&amp;_Insights'!E4</c:f>
              <c:strCache>
                <c:ptCount val="1"/>
                <c:pt idx="0">
                  <c:v>SAHI (₹ Cr)</c:v>
                </c:pt>
              </c:strCache>
            </c:strRef>
          </c:tx>
          <c:spPr>
            <a:solidFill>
              <a:srgbClr val="ffc000"/>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'05_Charts_&amp;_Insights'!$B$5:$B$13</c:f>
              <c:strCache>
                <c:ptCount val="9"/>
                <c:pt idx="0">
                  <c:v>2013-14</c:v>
                </c:pt>
                <c:pt idx="1">
                  <c:v>2014-15</c:v>
                </c:pt>
                <c:pt idx="2">
                  <c:v>2015-16</c:v>
                </c:pt>
                <c:pt idx="3">
                  <c:v>2016-17</c:v>
                </c:pt>
                <c:pt idx="4">
                  <c:v>2017-18</c:v>
                </c:pt>
                <c:pt idx="5">
                  <c:v>2018-19</c:v>
                </c:pt>
                <c:pt idx="6">
                  <c:v>2019-20</c:v>
                </c:pt>
                <c:pt idx="7">
                  <c:v>2020-21</c:v>
                </c:pt>
                <c:pt idx="8">
                  <c:v>2021-22</c:v>
                </c:pt>
              </c:strCache>
            </c:strRef>
          </c:cat>
          <c:val>
            <c:numRef>
              <c:f>'05_Charts_&amp;_Insights'!$E$5:$E$13</c:f>
              <c:numCache>
                <c:formatCode>#,##0</c:formatCode>
                <c:ptCount val="9"/>
                <c:pt idx="0">
                  <c:v>2172</c:v>
                </c:pt>
                <c:pt idx="1">
                  <c:v>2570</c:v>
                </c:pt>
                <c:pt idx="2">
                  <c:v>3946</c:v>
                </c:pt>
                <c:pt idx="3">
                  <c:v>5532</c:v>
                </c:pt>
                <c:pt idx="4">
                  <c:v>7830</c:v>
                </c:pt>
                <c:pt idx="5">
                  <c:v>10681</c:v>
                </c:pt>
                <c:pt idx="6">
                  <c:v>13736</c:v>
                </c:pt>
                <c:pt idx="7">
                  <c:v>15135</c:v>
                </c:pt>
                <c:pt idx="8">
                  <c:v>20001</c:v>
                </c:pt>
              </c:numCache>
            </c:numRef>
          </c:val>
        </c:ser>
        <c:gapWidth val="150"/>
        <c:overlap val="100"/>
        <c:axId val="72068136"/>
        <c:axId val="83365021"/>
      </c:barChart>
      <c:catAx>
        <c:axId val="7206813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Financial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365021"/>
        <c:crosses val="autoZero"/>
        <c:auto val="1"/>
        <c:lblAlgn val="ctr"/>
        <c:lblOffset val="100"/>
        <c:noMultiLvlLbl val="0"/>
      </c:catAx>
      <c:valAx>
        <c:axId val="8336502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Crore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06813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States: Health Insurance Premium FY22</a:t>
            </a:r>
          </a:p>
        </c:rich>
      </c:tx>
      <c:overlay val="0"/>
      <c:spPr>
        <a:noFill/>
        <a:ln w="0">
          <a:noFill/>
        </a:ln>
      </c:spPr>
    </c:title>
    <c:autoTitleDeleted val="0"/>
    <c:plotArea>
      <c:barChart>
        <c:barDir val="bar"/>
        <c:grouping val="clustered"/>
        <c:varyColors val="0"/>
        <c:ser>
          <c:idx val="0"/>
          <c:order val="0"/>
          <c:tx>
            <c:strRef>
              <c:f>'05_Charts_&amp;_Insights'!E17</c:f>
              <c:strCache>
                <c:ptCount val="1"/>
                <c:pt idx="0">
                  <c:v>Premium (₹ Cr)</c:v>
                </c:pt>
              </c:strCache>
            </c:strRef>
          </c:tx>
          <c:spPr>
            <a:solidFill>
              <a:srgbClr val="2e5bba"/>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'05_Charts_&amp;_Insights'!$C$18:$C$27</c:f>
              <c:strCache>
                <c:ptCount val="10"/>
                <c:pt idx="0">
                  <c:v>Maharashtra</c:v>
                </c:pt>
                <c:pt idx="1">
                  <c:v>Karnataka</c:v>
                </c:pt>
                <c:pt idx="2">
                  <c:v>Tamil Nadu</c:v>
                </c:pt>
                <c:pt idx="3">
                  <c:v>Gujarat</c:v>
                </c:pt>
                <c:pt idx="4">
                  <c:v>Delhi</c:v>
                </c:pt>
                <c:pt idx="5">
                  <c:v>Telangana</c:v>
                </c:pt>
                <c:pt idx="6">
                  <c:v>West Bengal</c:v>
                </c:pt>
                <c:pt idx="7">
                  <c:v>Haryana</c:v>
                </c:pt>
                <c:pt idx="8">
                  <c:v>Uttar Pradesh</c:v>
                </c:pt>
                <c:pt idx="9">
                  <c:v>Rajasthan</c:v>
                </c:pt>
              </c:strCache>
            </c:strRef>
          </c:cat>
          <c:val>
            <c:numRef>
              <c:f>'05_Charts_&amp;_Insights'!$E$18:$E$27</c:f>
              <c:numCache>
                <c:formatCode>#,##0</c:formatCode>
                <c:ptCount val="10"/>
                <c:pt idx="0">
                  <c:v>23301</c:v>
                </c:pt>
                <c:pt idx="1">
                  <c:v>7785</c:v>
                </c:pt>
                <c:pt idx="2">
                  <c:v>6851</c:v>
                </c:pt>
                <c:pt idx="3">
                  <c:v>5233</c:v>
                </c:pt>
                <c:pt idx="4">
                  <c:v>4890</c:v>
                </c:pt>
                <c:pt idx="5">
                  <c:v>3683</c:v>
                </c:pt>
                <c:pt idx="6">
                  <c:v>3533</c:v>
                </c:pt>
                <c:pt idx="7">
                  <c:v>3348</c:v>
                </c:pt>
                <c:pt idx="8">
                  <c:v>3180</c:v>
                </c:pt>
                <c:pt idx="9">
                  <c:v>2365</c:v>
                </c:pt>
              </c:numCache>
            </c:numRef>
          </c:val>
        </c:ser>
        <c:gapWidth val="150"/>
        <c:overlap val="0"/>
        <c:axId val="67160338"/>
        <c:axId val="99907014"/>
      </c:barChart>
      <c:catAx>
        <c:axId val="67160338"/>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Crore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907014"/>
        <c:crosses val="autoZero"/>
        <c:auto val="1"/>
        <c:lblAlgn val="ctr"/>
        <c:lblOffset val="100"/>
        <c:noMultiLvlLbl val="0"/>
      </c:catAx>
      <c:valAx>
        <c:axId val="99907014"/>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State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16033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15</xdr:row>
      <xdr:rowOff>0</xdr:rowOff>
    </xdr:from>
    <xdr:to>
      <xdr:col>6</xdr:col>
      <xdr:colOff>448200</xdr:colOff>
      <xdr:row>37</xdr:row>
      <xdr:rowOff>128520</xdr:rowOff>
    </xdr:to>
    <xdr:graphicFrame>
      <xdr:nvGraphicFramePr>
        <xdr:cNvPr id="0" name="Chart 1"/>
        <xdr:cNvGraphicFramePr/>
      </xdr:nvGraphicFramePr>
      <xdr:xfrm>
        <a:off x="211320" y="3267000"/>
        <a:ext cx="791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0</xdr:rowOff>
    </xdr:from>
    <xdr:to>
      <xdr:col>19</xdr:col>
      <xdr:colOff>581760</xdr:colOff>
      <xdr:row>28</xdr:row>
      <xdr:rowOff>164520</xdr:rowOff>
    </xdr:to>
    <xdr:graphicFrame>
      <xdr:nvGraphicFramePr>
        <xdr:cNvPr id="1" name="Chart 1"/>
        <xdr:cNvGraphicFramePr/>
      </xdr:nvGraphicFramePr>
      <xdr:xfrm>
        <a:off x="8246880" y="819000"/>
        <a:ext cx="791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16</xdr:row>
      <xdr:rowOff>0</xdr:rowOff>
    </xdr:from>
    <xdr:to>
      <xdr:col>18</xdr:col>
      <xdr:colOff>473040</xdr:colOff>
      <xdr:row>37</xdr:row>
      <xdr:rowOff>94320</xdr:rowOff>
    </xdr:to>
    <xdr:graphicFrame>
      <xdr:nvGraphicFramePr>
        <xdr:cNvPr id="2" name="Chart 2"/>
        <xdr:cNvGraphicFramePr/>
      </xdr:nvGraphicFramePr>
      <xdr:xfrm>
        <a:off x="8246880" y="3295800"/>
        <a:ext cx="7199640" cy="43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1:L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5" min="5" style="0" width="8"/>
    <col collapsed="false" customWidth="true" hidden="false" outlineLevel="0" max="6" min="6" style="0" width="50"/>
    <col collapsed="false" customWidth="true" hidden="false" outlineLevel="0" max="7" min="7" style="0" width="3"/>
    <col collapsed="false" customWidth="true" hidden="false" outlineLevel="0" max="12" min="8" style="0" width="16"/>
  </cols>
  <sheetData>
    <row r="1" customFormat="false" ht="48" hidden="false" customHeight="true" outlineLevel="0" collapsed="false">
      <c r="B1" s="1" t="s">
        <v>0</v>
      </c>
      <c r="C1" s="1"/>
      <c r="D1" s="1"/>
      <c r="E1" s="1"/>
      <c r="F1" s="1"/>
      <c r="G1" s="1"/>
      <c r="H1" s="1"/>
      <c r="I1" s="1"/>
      <c r="J1" s="1"/>
      <c r="K1" s="1"/>
      <c r="L1" s="1"/>
    </row>
    <row r="2" customFormat="false" ht="18" hidden="false" customHeight="true" outlineLevel="0" collapsed="false">
      <c r="B2" s="2" t="s">
        <v>1</v>
      </c>
      <c r="C2" s="2"/>
      <c r="D2" s="2"/>
      <c r="E2" s="2"/>
      <c r="F2" s="2"/>
      <c r="G2" s="2"/>
      <c r="H2" s="2"/>
      <c r="I2" s="2"/>
      <c r="J2" s="2"/>
      <c r="K2" s="2"/>
      <c r="L2" s="2"/>
    </row>
    <row r="4" customFormat="false" ht="27.75" hidden="false" customHeight="true" outlineLevel="0" collapsed="false">
      <c r="B4" s="3" t="s">
        <v>2</v>
      </c>
      <c r="C4" s="3"/>
      <c r="D4" s="3"/>
      <c r="E4" s="3"/>
      <c r="F4" s="3"/>
      <c r="G4" s="3"/>
      <c r="H4" s="3"/>
      <c r="I4" s="3"/>
      <c r="J4" s="3"/>
      <c r="K4" s="3"/>
      <c r="L4" s="3"/>
    </row>
    <row r="6" customFormat="false" ht="21.75" hidden="false" customHeight="true" outlineLevel="0" collapsed="false">
      <c r="B6" s="4" t="s">
        <v>3</v>
      </c>
      <c r="C6" s="4"/>
      <c r="D6" s="4"/>
      <c r="E6" s="4"/>
      <c r="F6" s="4"/>
      <c r="G6" s="4"/>
      <c r="H6" s="4"/>
      <c r="I6" s="4"/>
      <c r="J6" s="4"/>
      <c r="K6" s="4"/>
      <c r="L6" s="4"/>
    </row>
    <row r="7" customFormat="false" ht="31.5" hidden="false" customHeight="true" outlineLevel="0" collapsed="false">
      <c r="B7" s="5" t="s">
        <v>4</v>
      </c>
      <c r="C7" s="5"/>
      <c r="D7" s="5"/>
      <c r="F7" s="6" t="s">
        <v>5</v>
      </c>
      <c r="G7" s="6"/>
      <c r="H7" s="6"/>
      <c r="J7" s="7" t="s">
        <v>6</v>
      </c>
      <c r="K7" s="7"/>
      <c r="L7" s="7"/>
    </row>
    <row r="8" customFormat="false" ht="15.75" hidden="false" customHeight="true" outlineLevel="0" collapsed="false">
      <c r="B8" s="8" t="s">
        <v>7</v>
      </c>
      <c r="C8" s="8"/>
      <c r="D8" s="8"/>
      <c r="F8" s="9" t="s">
        <v>8</v>
      </c>
      <c r="G8" s="9"/>
      <c r="H8" s="9"/>
      <c r="J8" s="10" t="s">
        <v>9</v>
      </c>
      <c r="K8" s="10"/>
      <c r="L8" s="10"/>
    </row>
    <row r="9" customFormat="false" ht="31.5" hidden="false" customHeight="true" outlineLevel="0" collapsed="false">
      <c r="B9" s="11" t="s">
        <v>10</v>
      </c>
      <c r="C9" s="11"/>
      <c r="D9" s="11"/>
      <c r="F9" s="12" t="s">
        <v>11</v>
      </c>
      <c r="G9" s="12"/>
      <c r="H9" s="12"/>
      <c r="J9" s="13" t="s">
        <v>12</v>
      </c>
      <c r="K9" s="13"/>
      <c r="L9" s="13"/>
    </row>
    <row r="10" customFormat="false" ht="15.75" hidden="false" customHeight="true" outlineLevel="0" collapsed="false">
      <c r="B10" s="14" t="s">
        <v>13</v>
      </c>
      <c r="C10" s="14"/>
      <c r="D10" s="14"/>
      <c r="F10" s="15" t="s">
        <v>14</v>
      </c>
      <c r="G10" s="15"/>
      <c r="H10" s="15"/>
      <c r="J10" s="16" t="s">
        <v>15</v>
      </c>
      <c r="K10" s="16"/>
      <c r="L10" s="16"/>
    </row>
    <row r="12" customFormat="false" ht="15" hidden="false" customHeight="false" outlineLevel="0" collapsed="false">
      <c r="B12" s="17" t="s">
        <v>16</v>
      </c>
      <c r="C12" s="17"/>
      <c r="D12" s="17"/>
    </row>
    <row r="13" customFormat="false" ht="27.75" hidden="false" customHeight="true" outlineLevel="0" collapsed="false">
      <c r="B13" s="18" t="s">
        <v>17</v>
      </c>
      <c r="C13" s="19" t="s">
        <v>18</v>
      </c>
      <c r="D13" s="19" t="s">
        <v>19</v>
      </c>
      <c r="E13" s="19" t="s">
        <v>20</v>
      </c>
      <c r="F13" s="20" t="s">
        <v>21</v>
      </c>
    </row>
    <row r="14" customFormat="false" ht="27.75" hidden="false" customHeight="true" outlineLevel="0" collapsed="false">
      <c r="B14" s="21" t="s">
        <v>22</v>
      </c>
      <c r="C14" s="22" t="s">
        <v>23</v>
      </c>
      <c r="D14" s="22" t="s">
        <v>24</v>
      </c>
      <c r="E14" s="22" t="s">
        <v>25</v>
      </c>
      <c r="F14" s="23" t="s">
        <v>26</v>
      </c>
    </row>
    <row r="15" customFormat="false" ht="27.75" hidden="false" customHeight="true" outlineLevel="0" collapsed="false">
      <c r="B15" s="18" t="s">
        <v>27</v>
      </c>
      <c r="C15" s="19" t="s">
        <v>28</v>
      </c>
      <c r="D15" s="19" t="s">
        <v>29</v>
      </c>
      <c r="E15" s="19" t="s">
        <v>30</v>
      </c>
      <c r="F15" s="20" t="s">
        <v>31</v>
      </c>
    </row>
    <row r="17" customFormat="false" ht="15" hidden="false" customHeight="false" outlineLevel="0" collapsed="false">
      <c r="B17" s="24" t="s">
        <v>32</v>
      </c>
      <c r="C17" s="24"/>
      <c r="D17" s="24"/>
      <c r="E17" s="24"/>
      <c r="F17" s="24"/>
      <c r="G17" s="24"/>
      <c r="H17" s="24"/>
      <c r="I17" s="24"/>
      <c r="J17" s="24"/>
      <c r="K17" s="24"/>
      <c r="L17" s="24"/>
    </row>
    <row r="18" customFormat="false" ht="19.5" hidden="false" customHeight="true" outlineLevel="0" collapsed="false">
      <c r="B18" s="25" t="s">
        <v>33</v>
      </c>
      <c r="C18" s="25" t="s">
        <v>34</v>
      </c>
      <c r="D18" s="25" t="s">
        <v>35</v>
      </c>
      <c r="E18" s="25" t="s">
        <v>36</v>
      </c>
      <c r="F18" s="25" t="s">
        <v>37</v>
      </c>
      <c r="G18" s="25" t="s">
        <v>38</v>
      </c>
    </row>
    <row r="19" customFormat="false" ht="21.75" hidden="false" customHeight="true" outlineLevel="0" collapsed="false">
      <c r="B19" s="26" t="s">
        <v>39</v>
      </c>
      <c r="C19" s="26" t="s">
        <v>40</v>
      </c>
      <c r="D19" s="26" t="s">
        <v>41</v>
      </c>
      <c r="E19" s="26" t="s">
        <v>42</v>
      </c>
      <c r="F19" s="26" t="n">
        <v>1.25</v>
      </c>
      <c r="G19" s="27" t="s">
        <v>43</v>
      </c>
    </row>
    <row r="20" customFormat="false" ht="21.75" hidden="false" customHeight="true" outlineLevel="0" collapsed="false">
      <c r="B20" s="28" t="s">
        <v>44</v>
      </c>
      <c r="C20" s="28" t="s">
        <v>45</v>
      </c>
      <c r="D20" s="28" t="s">
        <v>46</v>
      </c>
      <c r="E20" s="28" t="s">
        <v>47</v>
      </c>
      <c r="F20" s="28" t="n">
        <v>0.87</v>
      </c>
      <c r="G20" s="29" t="s">
        <v>48</v>
      </c>
    </row>
    <row r="21" customFormat="false" ht="21.75" hidden="false" customHeight="true" outlineLevel="0" collapsed="false">
      <c r="B21" s="26" t="s">
        <v>49</v>
      </c>
      <c r="C21" s="26" t="s">
        <v>40</v>
      </c>
      <c r="D21" s="26" t="s">
        <v>50</v>
      </c>
      <c r="E21" s="26" t="s">
        <v>51</v>
      </c>
      <c r="F21" s="26" t="n">
        <v>1.37</v>
      </c>
      <c r="G21" s="27" t="s">
        <v>52</v>
      </c>
    </row>
    <row r="22" customFormat="false" ht="21.75" hidden="false" customHeight="true" outlineLevel="0" collapsed="false">
      <c r="B22" s="28" t="s">
        <v>53</v>
      </c>
      <c r="C22" s="28" t="s">
        <v>40</v>
      </c>
      <c r="D22" s="28" t="s">
        <v>54</v>
      </c>
      <c r="E22" s="28" t="s">
        <v>55</v>
      </c>
      <c r="F22" s="28" t="n">
        <v>1.22</v>
      </c>
      <c r="G22" s="30" t="s">
        <v>56</v>
      </c>
    </row>
    <row r="23" customFormat="false" ht="21.75" hidden="false" customHeight="true" outlineLevel="0" collapsed="false">
      <c r="B23" s="26" t="s">
        <v>57</v>
      </c>
      <c r="C23" s="26" t="s">
        <v>40</v>
      </c>
      <c r="D23" s="26" t="s">
        <v>58</v>
      </c>
      <c r="E23" s="26" t="s">
        <v>59</v>
      </c>
      <c r="F23" s="26" t="n">
        <v>1.24</v>
      </c>
      <c r="G23" s="27" t="s">
        <v>56</v>
      </c>
    </row>
    <row r="24" customFormat="false" ht="21.75" hidden="false" customHeight="true" outlineLevel="0" collapsed="false">
      <c r="B24" s="28" t="s">
        <v>60</v>
      </c>
      <c r="C24" s="28" t="s">
        <v>61</v>
      </c>
      <c r="D24" s="28" t="s">
        <v>62</v>
      </c>
      <c r="E24" s="28" t="s">
        <v>63</v>
      </c>
      <c r="F24" s="28" t="n">
        <v>1.02</v>
      </c>
      <c r="G24" s="28" t="s">
        <v>64</v>
      </c>
    </row>
    <row r="25" customFormat="false" ht="21.75" hidden="false" customHeight="true" outlineLevel="0" collapsed="false">
      <c r="B25" s="26" t="s">
        <v>65</v>
      </c>
      <c r="C25" s="26" t="s">
        <v>45</v>
      </c>
      <c r="D25" s="26" t="s">
        <v>66</v>
      </c>
      <c r="E25" s="26" t="s">
        <v>67</v>
      </c>
      <c r="F25" s="26" t="n">
        <v>0.71</v>
      </c>
      <c r="G25" s="31" t="s">
        <v>68</v>
      </c>
    </row>
    <row r="26" customFormat="false" ht="21.75" hidden="false" customHeight="true" outlineLevel="0" collapsed="false">
      <c r="B26" s="28" t="s">
        <v>69</v>
      </c>
      <c r="C26" s="28" t="s">
        <v>45</v>
      </c>
      <c r="D26" s="28" t="s">
        <v>70</v>
      </c>
      <c r="E26" s="28" t="s">
        <v>71</v>
      </c>
      <c r="F26" s="28" t="n">
        <v>0.64</v>
      </c>
      <c r="G26" s="29" t="s">
        <v>72</v>
      </c>
    </row>
    <row r="28" customFormat="false" ht="15" hidden="false" customHeight="false" outlineLevel="0" collapsed="false">
      <c r="B28" s="24" t="s">
        <v>73</v>
      </c>
      <c r="C28" s="24"/>
      <c r="D28" s="24"/>
      <c r="E28" s="24"/>
      <c r="F28" s="24"/>
      <c r="G28" s="24"/>
      <c r="H28" s="24"/>
      <c r="I28" s="24"/>
      <c r="J28" s="24"/>
      <c r="K28" s="24"/>
      <c r="L28" s="24"/>
    </row>
    <row r="29" customFormat="false" ht="43.5" hidden="false" customHeight="true" outlineLevel="0" collapsed="false">
      <c r="B29" s="32" t="s">
        <v>74</v>
      </c>
      <c r="C29" s="33" t="s">
        <v>75</v>
      </c>
      <c r="D29" s="33"/>
      <c r="E29" s="33"/>
      <c r="F29" s="34" t="s">
        <v>76</v>
      </c>
      <c r="G29" s="34"/>
      <c r="H29" s="34"/>
      <c r="I29" s="34"/>
      <c r="J29" s="34"/>
      <c r="K29" s="34"/>
      <c r="L29" s="35" t="s">
        <v>77</v>
      </c>
    </row>
    <row r="30" customFormat="false" ht="43.5" hidden="false" customHeight="true" outlineLevel="0" collapsed="false">
      <c r="B30" s="32" t="s">
        <v>78</v>
      </c>
      <c r="C30" s="36" t="s">
        <v>79</v>
      </c>
      <c r="D30" s="36"/>
      <c r="E30" s="36"/>
      <c r="F30" s="37" t="s">
        <v>80</v>
      </c>
      <c r="G30" s="37"/>
      <c r="H30" s="37"/>
      <c r="I30" s="37"/>
      <c r="J30" s="37"/>
      <c r="K30" s="37"/>
      <c r="L30" s="38" t="s">
        <v>77</v>
      </c>
    </row>
    <row r="31" customFormat="false" ht="43.5" hidden="false" customHeight="true" outlineLevel="0" collapsed="false">
      <c r="B31" s="32" t="s">
        <v>81</v>
      </c>
      <c r="C31" s="33" t="s">
        <v>82</v>
      </c>
      <c r="D31" s="33"/>
      <c r="E31" s="33"/>
      <c r="F31" s="34" t="s">
        <v>83</v>
      </c>
      <c r="G31" s="34"/>
      <c r="H31" s="34"/>
      <c r="I31" s="34"/>
      <c r="J31" s="34"/>
      <c r="K31" s="34"/>
      <c r="L31" s="35" t="s">
        <v>77</v>
      </c>
    </row>
    <row r="32" customFormat="false" ht="43.5" hidden="false" customHeight="true" outlineLevel="0" collapsed="false">
      <c r="B32" s="32" t="s">
        <v>84</v>
      </c>
      <c r="C32" s="36" t="s">
        <v>85</v>
      </c>
      <c r="D32" s="36"/>
      <c r="E32" s="36"/>
      <c r="F32" s="37" t="s">
        <v>86</v>
      </c>
      <c r="G32" s="37"/>
      <c r="H32" s="37"/>
      <c r="I32" s="37"/>
      <c r="J32" s="37"/>
      <c r="K32" s="37"/>
      <c r="L32" s="38" t="s">
        <v>77</v>
      </c>
    </row>
    <row r="33" customFormat="false" ht="43.5" hidden="false" customHeight="true" outlineLevel="0" collapsed="false">
      <c r="B33" s="32" t="s">
        <v>87</v>
      </c>
      <c r="C33" s="33" t="s">
        <v>88</v>
      </c>
      <c r="D33" s="33"/>
      <c r="E33" s="33"/>
      <c r="F33" s="34" t="s">
        <v>89</v>
      </c>
      <c r="G33" s="34"/>
      <c r="H33" s="34"/>
      <c r="I33" s="34"/>
      <c r="J33" s="34"/>
      <c r="K33" s="34"/>
      <c r="L33" s="35" t="s">
        <v>77</v>
      </c>
    </row>
    <row r="34" customFormat="false" ht="43.5" hidden="false" customHeight="true" outlineLevel="0" collapsed="false">
      <c r="B34" s="32" t="s">
        <v>90</v>
      </c>
      <c r="C34" s="36" t="s">
        <v>91</v>
      </c>
      <c r="D34" s="36"/>
      <c r="E34" s="36"/>
      <c r="F34" s="37" t="s">
        <v>92</v>
      </c>
      <c r="G34" s="37"/>
      <c r="H34" s="37"/>
      <c r="I34" s="37"/>
      <c r="J34" s="37"/>
      <c r="K34" s="37"/>
      <c r="L34" s="39" t="s">
        <v>93</v>
      </c>
    </row>
    <row r="36" customFormat="false" ht="15" hidden="false" customHeight="false" outlineLevel="0" collapsed="false">
      <c r="B36" s="24" t="s">
        <v>94</v>
      </c>
      <c r="C36" s="24"/>
      <c r="D36" s="24"/>
      <c r="E36" s="24"/>
      <c r="F36" s="24"/>
      <c r="G36" s="24"/>
      <c r="H36" s="24"/>
      <c r="I36" s="24"/>
      <c r="J36" s="24"/>
      <c r="K36" s="24"/>
      <c r="L36" s="24"/>
    </row>
    <row r="37" customFormat="false" ht="19.5" hidden="false" customHeight="true" outlineLevel="0" collapsed="false">
      <c r="B37" s="40" t="s">
        <v>95</v>
      </c>
      <c r="C37" s="40" t="s">
        <v>96</v>
      </c>
      <c r="D37" s="40" t="s">
        <v>97</v>
      </c>
      <c r="E37" s="40"/>
      <c r="F37" s="40"/>
      <c r="G37" s="40"/>
      <c r="H37" s="40"/>
      <c r="I37" s="40"/>
      <c r="J37" s="40"/>
    </row>
    <row r="38" customFormat="false" ht="51.75" hidden="false" customHeight="true" outlineLevel="0" collapsed="false">
      <c r="B38" s="41" t="s">
        <v>98</v>
      </c>
      <c r="C38" s="42" t="s">
        <v>99</v>
      </c>
      <c r="D38" s="34" t="s">
        <v>100</v>
      </c>
      <c r="E38" s="34"/>
      <c r="F38" s="34"/>
      <c r="G38" s="34"/>
      <c r="H38" s="34"/>
      <c r="I38" s="34"/>
      <c r="J38" s="34"/>
      <c r="K38" s="35" t="s">
        <v>77</v>
      </c>
      <c r="L38" s="35" t="s">
        <v>101</v>
      </c>
    </row>
    <row r="39" customFormat="false" ht="51.75" hidden="false" customHeight="true" outlineLevel="0" collapsed="false">
      <c r="B39" s="41" t="s">
        <v>98</v>
      </c>
      <c r="C39" s="43" t="s">
        <v>102</v>
      </c>
      <c r="D39" s="37" t="s">
        <v>103</v>
      </c>
      <c r="E39" s="37"/>
      <c r="F39" s="37"/>
      <c r="G39" s="37"/>
      <c r="H39" s="37"/>
      <c r="I39" s="37"/>
      <c r="J39" s="37"/>
      <c r="K39" s="38" t="s">
        <v>77</v>
      </c>
      <c r="L39" s="44" t="s">
        <v>77</v>
      </c>
    </row>
    <row r="40" customFormat="false" ht="51.75" hidden="false" customHeight="true" outlineLevel="0" collapsed="false">
      <c r="B40" s="45" t="s">
        <v>104</v>
      </c>
      <c r="C40" s="42" t="s">
        <v>105</v>
      </c>
      <c r="D40" s="34" t="s">
        <v>106</v>
      </c>
      <c r="E40" s="34"/>
      <c r="F40" s="34"/>
      <c r="G40" s="34"/>
      <c r="H40" s="34"/>
      <c r="I40" s="34"/>
      <c r="J40" s="34"/>
      <c r="K40" s="35" t="s">
        <v>77</v>
      </c>
      <c r="L40" s="46" t="s">
        <v>93</v>
      </c>
    </row>
    <row r="41" customFormat="false" ht="51.75" hidden="false" customHeight="true" outlineLevel="0" collapsed="false">
      <c r="B41" s="45" t="s">
        <v>104</v>
      </c>
      <c r="C41" s="43" t="s">
        <v>107</v>
      </c>
      <c r="D41" s="37" t="s">
        <v>108</v>
      </c>
      <c r="E41" s="37"/>
      <c r="F41" s="37"/>
      <c r="G41" s="37"/>
      <c r="H41" s="37"/>
      <c r="I41" s="37"/>
      <c r="J41" s="37"/>
      <c r="K41" s="39" t="s">
        <v>93</v>
      </c>
      <c r="L41" s="38" t="s">
        <v>101</v>
      </c>
    </row>
    <row r="42" customFormat="false" ht="51.75" hidden="false" customHeight="true" outlineLevel="0" collapsed="false">
      <c r="B42" s="47" t="s">
        <v>109</v>
      </c>
      <c r="C42" s="42" t="s">
        <v>110</v>
      </c>
      <c r="D42" s="34" t="s">
        <v>111</v>
      </c>
      <c r="E42" s="34"/>
      <c r="F42" s="34"/>
      <c r="G42" s="34"/>
      <c r="H42" s="34"/>
      <c r="I42" s="34"/>
      <c r="J42" s="34"/>
      <c r="K42" s="35" t="s">
        <v>77</v>
      </c>
      <c r="L42" s="48" t="s">
        <v>77</v>
      </c>
    </row>
    <row r="43" customFormat="false" ht="51.75" hidden="false" customHeight="true" outlineLevel="0" collapsed="false">
      <c r="B43" s="47" t="s">
        <v>109</v>
      </c>
      <c r="C43" s="43" t="s">
        <v>112</v>
      </c>
      <c r="D43" s="37" t="s">
        <v>113</v>
      </c>
      <c r="E43" s="37"/>
      <c r="F43" s="37"/>
      <c r="G43" s="37"/>
      <c r="H43" s="37"/>
      <c r="I43" s="37"/>
      <c r="J43" s="37"/>
      <c r="K43" s="38" t="s">
        <v>77</v>
      </c>
      <c r="L43" s="44" t="s">
        <v>77</v>
      </c>
    </row>
    <row r="45" customFormat="false" ht="15" hidden="false" customHeight="false" outlineLevel="0" collapsed="false">
      <c r="B45" s="24" t="s">
        <v>114</v>
      </c>
      <c r="C45" s="24"/>
      <c r="D45" s="24"/>
      <c r="E45" s="24"/>
      <c r="F45" s="24"/>
      <c r="G45" s="24"/>
      <c r="H45" s="24"/>
      <c r="I45" s="24"/>
      <c r="J45" s="24"/>
      <c r="K45" s="24"/>
      <c r="L45" s="24"/>
    </row>
    <row r="46" customFormat="false" ht="24" hidden="false" customHeight="true" outlineLevel="0" collapsed="false">
      <c r="B46" s="49" t="s">
        <v>115</v>
      </c>
      <c r="C46" s="49"/>
      <c r="D46" s="49"/>
      <c r="E46" s="49"/>
      <c r="F46" s="49"/>
      <c r="G46" s="49"/>
      <c r="H46" s="49"/>
      <c r="I46" s="49"/>
      <c r="J46" s="49"/>
      <c r="K46" s="49"/>
      <c r="L46" s="49"/>
    </row>
    <row r="47" customFormat="false" ht="24" hidden="false" customHeight="true" outlineLevel="0" collapsed="false">
      <c r="B47" s="37" t="s">
        <v>116</v>
      </c>
      <c r="C47" s="37"/>
      <c r="D47" s="37"/>
      <c r="E47" s="37"/>
      <c r="F47" s="37"/>
      <c r="G47" s="37"/>
      <c r="H47" s="37"/>
      <c r="I47" s="37"/>
      <c r="J47" s="37"/>
      <c r="K47" s="37"/>
      <c r="L47" s="37"/>
    </row>
    <row r="48" customFormat="false" ht="24" hidden="false" customHeight="true" outlineLevel="0" collapsed="false">
      <c r="B48" s="49" t="s">
        <v>117</v>
      </c>
      <c r="C48" s="49"/>
      <c r="D48" s="49"/>
      <c r="E48" s="49"/>
      <c r="F48" s="49"/>
      <c r="G48" s="49"/>
      <c r="H48" s="49"/>
      <c r="I48" s="49"/>
      <c r="J48" s="49"/>
      <c r="K48" s="49"/>
      <c r="L48" s="49"/>
    </row>
    <row r="49" customFormat="false" ht="24" hidden="false" customHeight="true" outlineLevel="0" collapsed="false">
      <c r="B49" s="37" t="s">
        <v>118</v>
      </c>
      <c r="C49" s="37"/>
      <c r="D49" s="37"/>
      <c r="E49" s="37"/>
      <c r="F49" s="37"/>
      <c r="G49" s="37"/>
      <c r="H49" s="37"/>
      <c r="I49" s="37"/>
      <c r="J49" s="37"/>
      <c r="K49" s="37"/>
      <c r="L49" s="37"/>
    </row>
    <row r="50" customFormat="false" ht="24" hidden="false" customHeight="true" outlineLevel="0" collapsed="false">
      <c r="B50" s="49" t="s">
        <v>119</v>
      </c>
      <c r="C50" s="49"/>
      <c r="D50" s="49"/>
      <c r="E50" s="49"/>
      <c r="F50" s="49"/>
      <c r="G50" s="49"/>
      <c r="H50" s="49"/>
      <c r="I50" s="49"/>
      <c r="J50" s="49"/>
      <c r="K50" s="49"/>
      <c r="L50" s="49"/>
    </row>
    <row r="51" customFormat="false" ht="24" hidden="false" customHeight="true" outlineLevel="0" collapsed="false">
      <c r="B51" s="37" t="s">
        <v>120</v>
      </c>
      <c r="C51" s="37"/>
      <c r="D51" s="37"/>
      <c r="E51" s="37"/>
      <c r="F51" s="37"/>
      <c r="G51" s="37"/>
      <c r="H51" s="37"/>
      <c r="I51" s="37"/>
      <c r="J51" s="37"/>
      <c r="K51" s="37"/>
      <c r="L51" s="37"/>
    </row>
  </sheetData>
  <mergeCells count="46">
    <mergeCell ref="B1:L1"/>
    <mergeCell ref="B2:L2"/>
    <mergeCell ref="B4:L4"/>
    <mergeCell ref="B6:L6"/>
    <mergeCell ref="B7:D7"/>
    <mergeCell ref="F7:H7"/>
    <mergeCell ref="J7:L7"/>
    <mergeCell ref="B8:D8"/>
    <mergeCell ref="F8:H8"/>
    <mergeCell ref="J8:L8"/>
    <mergeCell ref="B9:D9"/>
    <mergeCell ref="F9:H9"/>
    <mergeCell ref="J9:L9"/>
    <mergeCell ref="B10:D10"/>
    <mergeCell ref="F10:H10"/>
    <mergeCell ref="J10:L10"/>
    <mergeCell ref="B12:D12"/>
    <mergeCell ref="B17:L17"/>
    <mergeCell ref="B28:L28"/>
    <mergeCell ref="C29:E29"/>
    <mergeCell ref="F29:K29"/>
    <mergeCell ref="C30:E30"/>
    <mergeCell ref="F30:K30"/>
    <mergeCell ref="C31:E31"/>
    <mergeCell ref="F31:K31"/>
    <mergeCell ref="C32:E32"/>
    <mergeCell ref="F32:K32"/>
    <mergeCell ref="C33:E33"/>
    <mergeCell ref="F33:K33"/>
    <mergeCell ref="C34:E34"/>
    <mergeCell ref="F34:K34"/>
    <mergeCell ref="B36:L36"/>
    <mergeCell ref="D37:J37"/>
    <mergeCell ref="D38:J38"/>
    <mergeCell ref="D39:J39"/>
    <mergeCell ref="D40:J40"/>
    <mergeCell ref="D41:J41"/>
    <mergeCell ref="D42:J42"/>
    <mergeCell ref="D43:J43"/>
    <mergeCell ref="B45:L45"/>
    <mergeCell ref="B46:L46"/>
    <mergeCell ref="B47:L47"/>
    <mergeCell ref="B48:L48"/>
    <mergeCell ref="B49:L49"/>
    <mergeCell ref="B50:L50"/>
    <mergeCell ref="B51:L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8"/>
    <col collapsed="false" customWidth="true" hidden="false" outlineLevel="0" max="3" min="3" style="0" width="42"/>
    <col collapsed="false" customWidth="true" hidden="false" outlineLevel="0" max="5" min="4" style="0" width="8"/>
    <col collapsed="false" customWidth="true" hidden="false" outlineLevel="0" max="6" min="6" style="0" width="22"/>
    <col collapsed="false" customWidth="true" hidden="false" outlineLevel="0" max="7" min="7" style="0" width="38"/>
    <col collapsed="false" customWidth="true" hidden="false" outlineLevel="0" max="8" min="8" style="0" width="16"/>
    <col collapsed="false" customWidth="true" hidden="false" outlineLevel="0" max="9" min="9" style="0" width="44"/>
  </cols>
  <sheetData>
    <row r="1" customFormat="false" ht="34.5" hidden="false" customHeight="true" outlineLevel="0" collapsed="false">
      <c r="B1" s="50" t="s">
        <v>121</v>
      </c>
      <c r="C1" s="50"/>
      <c r="D1" s="50"/>
      <c r="E1" s="50"/>
      <c r="F1" s="50"/>
      <c r="G1" s="50"/>
      <c r="H1" s="50"/>
      <c r="I1" s="50"/>
      <c r="J1" s="50"/>
      <c r="K1" s="50"/>
    </row>
    <row r="2" customFormat="false" ht="15.75" hidden="false" customHeight="true" outlineLevel="0" collapsed="false">
      <c r="B2" s="51" t="s">
        <v>122</v>
      </c>
      <c r="C2" s="51"/>
      <c r="D2" s="51"/>
      <c r="E2" s="51"/>
      <c r="F2" s="51"/>
      <c r="G2" s="51"/>
      <c r="H2" s="51"/>
      <c r="I2" s="51"/>
      <c r="J2" s="51"/>
      <c r="K2" s="51"/>
    </row>
    <row r="4" customFormat="false" ht="21.75" hidden="false" customHeight="true" outlineLevel="0" collapsed="false">
      <c r="B4" s="52" t="s">
        <v>123</v>
      </c>
      <c r="C4" s="52"/>
      <c r="D4" s="52"/>
      <c r="E4" s="52"/>
      <c r="F4" s="52"/>
      <c r="G4" s="52"/>
      <c r="H4" s="52"/>
      <c r="I4" s="52"/>
      <c r="J4" s="52"/>
      <c r="K4" s="52"/>
    </row>
    <row r="5" customFormat="false" ht="27.75" hidden="false" customHeight="true" outlineLevel="0" collapsed="false">
      <c r="B5" s="53" t="s">
        <v>124</v>
      </c>
      <c r="C5" s="53" t="s">
        <v>125</v>
      </c>
      <c r="D5" s="53" t="s">
        <v>126</v>
      </c>
      <c r="E5" s="53" t="s">
        <v>127</v>
      </c>
      <c r="F5" s="53" t="s">
        <v>128</v>
      </c>
      <c r="G5" s="53" t="s">
        <v>129</v>
      </c>
      <c r="H5" s="53" t="s">
        <v>130</v>
      </c>
      <c r="I5" s="53" t="s">
        <v>131</v>
      </c>
    </row>
    <row r="6" customFormat="false" ht="36" hidden="false" customHeight="true" outlineLevel="0" collapsed="false">
      <c r="B6" s="54" t="s">
        <v>132</v>
      </c>
      <c r="C6" s="54" t="s">
        <v>133</v>
      </c>
      <c r="D6" s="55" t="n">
        <v>47</v>
      </c>
      <c r="E6" s="55" t="n">
        <v>137</v>
      </c>
      <c r="F6" s="54" t="s">
        <v>134</v>
      </c>
      <c r="G6" s="54" t="s">
        <v>135</v>
      </c>
      <c r="H6" s="54" t="s">
        <v>136</v>
      </c>
      <c r="I6" s="54" t="s">
        <v>137</v>
      </c>
    </row>
    <row r="7" customFormat="false" ht="36" hidden="false" customHeight="true" outlineLevel="0" collapsed="false">
      <c r="B7" s="56" t="s">
        <v>138</v>
      </c>
      <c r="C7" s="56" t="s">
        <v>139</v>
      </c>
      <c r="D7" s="57" t="n">
        <v>48</v>
      </c>
      <c r="E7" s="57" t="n">
        <v>137</v>
      </c>
      <c r="F7" s="56" t="s">
        <v>134</v>
      </c>
      <c r="G7" s="56" t="s">
        <v>140</v>
      </c>
      <c r="H7" s="56" t="s">
        <v>136</v>
      </c>
      <c r="I7" s="56" t="s">
        <v>141</v>
      </c>
    </row>
    <row r="8" customFormat="false" ht="36" hidden="false" customHeight="true" outlineLevel="0" collapsed="false">
      <c r="B8" s="54" t="s">
        <v>142</v>
      </c>
      <c r="C8" s="54" t="s">
        <v>143</v>
      </c>
      <c r="D8" s="55" t="n">
        <v>42</v>
      </c>
      <c r="E8" s="55" t="n">
        <v>207</v>
      </c>
      <c r="F8" s="54" t="s">
        <v>144</v>
      </c>
      <c r="G8" s="54" t="s">
        <v>145</v>
      </c>
      <c r="H8" s="54" t="s">
        <v>136</v>
      </c>
      <c r="I8" s="54" t="s">
        <v>146</v>
      </c>
    </row>
    <row r="9" customFormat="false" ht="36" hidden="false" customHeight="true" outlineLevel="0" collapsed="false">
      <c r="B9" s="56" t="s">
        <v>147</v>
      </c>
      <c r="C9" s="56" t="s">
        <v>148</v>
      </c>
      <c r="D9" s="57" t="n">
        <v>43</v>
      </c>
      <c r="E9" s="57" t="n">
        <v>26</v>
      </c>
      <c r="F9" s="56" t="s">
        <v>149</v>
      </c>
      <c r="G9" s="56" t="s">
        <v>150</v>
      </c>
      <c r="H9" s="56" t="s">
        <v>151</v>
      </c>
      <c r="I9" s="56" t="s">
        <v>152</v>
      </c>
    </row>
    <row r="10" customFormat="false" ht="36" hidden="false" customHeight="true" outlineLevel="0" collapsed="false">
      <c r="B10" s="54" t="s">
        <v>153</v>
      </c>
      <c r="C10" s="54" t="s">
        <v>154</v>
      </c>
      <c r="D10" s="55" t="n">
        <v>44</v>
      </c>
      <c r="E10" s="55" t="n">
        <v>42</v>
      </c>
      <c r="F10" s="54" t="s">
        <v>149</v>
      </c>
      <c r="G10" s="54" t="s">
        <v>155</v>
      </c>
      <c r="H10" s="54" t="s">
        <v>151</v>
      </c>
      <c r="I10" s="54" t="s">
        <v>156</v>
      </c>
    </row>
    <row r="11" customFormat="false" ht="36" hidden="false" customHeight="true" outlineLevel="0" collapsed="false">
      <c r="B11" s="56" t="s">
        <v>157</v>
      </c>
      <c r="C11" s="56" t="s">
        <v>158</v>
      </c>
      <c r="D11" s="57" t="n">
        <v>26</v>
      </c>
      <c r="E11" s="57" t="n">
        <v>6</v>
      </c>
      <c r="F11" s="56" t="s">
        <v>159</v>
      </c>
      <c r="G11" s="56" t="s">
        <v>160</v>
      </c>
      <c r="H11" s="56" t="s">
        <v>151</v>
      </c>
      <c r="I11" s="56" t="s">
        <v>161</v>
      </c>
    </row>
    <row r="12" customFormat="false" ht="36" hidden="false" customHeight="true" outlineLevel="0" collapsed="false">
      <c r="B12" s="54" t="s">
        <v>162</v>
      </c>
      <c r="C12" s="54" t="s">
        <v>163</v>
      </c>
      <c r="D12" s="55" t="n">
        <v>1105</v>
      </c>
      <c r="E12" s="55" t="n">
        <v>34</v>
      </c>
      <c r="F12" s="54" t="s">
        <v>164</v>
      </c>
      <c r="G12" s="54" t="s">
        <v>165</v>
      </c>
      <c r="H12" s="54" t="s">
        <v>166</v>
      </c>
      <c r="I12" s="54" t="s">
        <v>167</v>
      </c>
    </row>
    <row r="15" customFormat="false" ht="21.75" hidden="false" customHeight="true" outlineLevel="0" collapsed="false">
      <c r="B15" s="52" t="s">
        <v>168</v>
      </c>
      <c r="C15" s="52"/>
      <c r="D15" s="52"/>
      <c r="E15" s="52"/>
      <c r="F15" s="52"/>
      <c r="G15" s="52"/>
      <c r="H15" s="52"/>
      <c r="I15" s="52"/>
      <c r="J15" s="52"/>
      <c r="K15" s="52"/>
    </row>
    <row r="16" customFormat="false" ht="24" hidden="false" customHeight="true" outlineLevel="0" collapsed="false">
      <c r="B16" s="53" t="s">
        <v>169</v>
      </c>
      <c r="C16" s="53" t="s">
        <v>170</v>
      </c>
      <c r="D16" s="53" t="s">
        <v>171</v>
      </c>
      <c r="E16" s="53" t="s">
        <v>172</v>
      </c>
      <c r="F16" s="53" t="s">
        <v>173</v>
      </c>
    </row>
    <row r="17" customFormat="false" ht="39.75" hidden="false" customHeight="true" outlineLevel="0" collapsed="false">
      <c r="B17" s="54" t="s">
        <v>174</v>
      </c>
      <c r="C17" s="58" t="s">
        <v>175</v>
      </c>
      <c r="D17" s="54" t="s">
        <v>176</v>
      </c>
      <c r="E17" s="54" t="s">
        <v>177</v>
      </c>
      <c r="F17" s="54" t="s">
        <v>178</v>
      </c>
    </row>
    <row r="18" customFormat="false" ht="39.75" hidden="false" customHeight="true" outlineLevel="0" collapsed="false">
      <c r="B18" s="56" t="s">
        <v>179</v>
      </c>
      <c r="C18" s="59" t="s">
        <v>93</v>
      </c>
      <c r="D18" s="56" t="s">
        <v>180</v>
      </c>
      <c r="E18" s="56" t="s">
        <v>181</v>
      </c>
      <c r="F18" s="56" t="s">
        <v>182</v>
      </c>
    </row>
    <row r="19" customFormat="false" ht="39.75" hidden="false" customHeight="true" outlineLevel="0" collapsed="false">
      <c r="B19" s="54" t="s">
        <v>183</v>
      </c>
      <c r="C19" s="58" t="s">
        <v>77</v>
      </c>
      <c r="D19" s="54" t="s">
        <v>184</v>
      </c>
      <c r="E19" s="54" t="s">
        <v>185</v>
      </c>
      <c r="F19" s="54" t="s">
        <v>186</v>
      </c>
    </row>
    <row r="20" customFormat="false" ht="39.75" hidden="false" customHeight="true" outlineLevel="0" collapsed="false">
      <c r="B20" s="56" t="s">
        <v>187</v>
      </c>
      <c r="C20" s="60" t="s">
        <v>188</v>
      </c>
      <c r="D20" s="56" t="s">
        <v>189</v>
      </c>
      <c r="E20" s="56" t="s">
        <v>190</v>
      </c>
      <c r="F20" s="56" t="s">
        <v>191</v>
      </c>
    </row>
    <row r="21" customFormat="false" ht="39.75" hidden="false" customHeight="true" outlineLevel="0" collapsed="false">
      <c r="B21" s="54" t="s">
        <v>192</v>
      </c>
      <c r="C21" s="58" t="s">
        <v>77</v>
      </c>
      <c r="D21" s="54" t="s">
        <v>193</v>
      </c>
      <c r="E21" s="54" t="s">
        <v>194</v>
      </c>
      <c r="F21" s="54" t="s">
        <v>195</v>
      </c>
    </row>
    <row r="22" customFormat="false" ht="39.75" hidden="false" customHeight="true" outlineLevel="0" collapsed="false">
      <c r="B22" s="56" t="s">
        <v>196</v>
      </c>
      <c r="C22" s="59" t="s">
        <v>93</v>
      </c>
      <c r="D22" s="56" t="s">
        <v>197</v>
      </c>
      <c r="E22" s="56" t="s">
        <v>198</v>
      </c>
      <c r="F22" s="56" t="s">
        <v>199</v>
      </c>
    </row>
    <row r="24" customFormat="false" ht="15" hidden="false" customHeight="false" outlineLevel="0" collapsed="false">
      <c r="B24" s="52" t="s">
        <v>200</v>
      </c>
      <c r="C24" s="52"/>
      <c r="D24" s="52"/>
      <c r="E24" s="52"/>
      <c r="F24" s="52"/>
      <c r="G24" s="52"/>
      <c r="H24" s="52"/>
      <c r="I24" s="52"/>
      <c r="J24" s="52"/>
      <c r="K24" s="52"/>
    </row>
    <row r="25" customFormat="false" ht="21.75" hidden="false" customHeight="true" outlineLevel="0" collapsed="false">
      <c r="B25" s="61" t="s">
        <v>201</v>
      </c>
      <c r="C25" s="61"/>
      <c r="D25" s="61"/>
      <c r="E25" s="61"/>
      <c r="F25" s="61"/>
      <c r="G25" s="61"/>
      <c r="H25" s="61"/>
      <c r="I25" s="61"/>
      <c r="J25" s="61"/>
      <c r="K25" s="61"/>
    </row>
    <row r="26" customFormat="false" ht="21.75" hidden="false" customHeight="true" outlineLevel="0" collapsed="false">
      <c r="B26" s="61" t="s">
        <v>202</v>
      </c>
      <c r="C26" s="61"/>
      <c r="D26" s="61"/>
      <c r="E26" s="61"/>
      <c r="F26" s="61"/>
      <c r="G26" s="61"/>
      <c r="H26" s="61"/>
      <c r="I26" s="61"/>
      <c r="J26" s="61"/>
      <c r="K26" s="61"/>
    </row>
    <row r="27" customFormat="false" ht="21.75" hidden="false" customHeight="true" outlineLevel="0" collapsed="false">
      <c r="B27" s="61" t="s">
        <v>203</v>
      </c>
      <c r="C27" s="61"/>
      <c r="D27" s="61"/>
      <c r="E27" s="61"/>
      <c r="F27" s="61"/>
      <c r="G27" s="61"/>
      <c r="H27" s="61"/>
      <c r="I27" s="61"/>
      <c r="J27" s="61"/>
      <c r="K27" s="61"/>
    </row>
    <row r="28" customFormat="false" ht="21.75" hidden="false" customHeight="true" outlineLevel="0" collapsed="false">
      <c r="B28" s="61" t="s">
        <v>204</v>
      </c>
      <c r="C28" s="61"/>
      <c r="D28" s="61"/>
      <c r="E28" s="61"/>
      <c r="F28" s="61"/>
      <c r="G28" s="61"/>
      <c r="H28" s="61"/>
      <c r="I28" s="61"/>
      <c r="J28" s="61"/>
      <c r="K28" s="61"/>
    </row>
    <row r="29" customFormat="false" ht="21.75" hidden="false" customHeight="true" outlineLevel="0" collapsed="false">
      <c r="B29" s="61" t="s">
        <v>205</v>
      </c>
      <c r="C29" s="61"/>
      <c r="D29" s="61"/>
      <c r="E29" s="61"/>
      <c r="F29" s="61"/>
      <c r="G29" s="61"/>
      <c r="H29" s="61"/>
      <c r="I29" s="61"/>
      <c r="J29" s="61"/>
      <c r="K29" s="61"/>
    </row>
    <row r="30" customFormat="false" ht="21.75" hidden="false" customHeight="true" outlineLevel="0" collapsed="false">
      <c r="B30" s="61" t="s">
        <v>206</v>
      </c>
      <c r="C30" s="61"/>
      <c r="D30" s="61"/>
      <c r="E30" s="61"/>
      <c r="F30" s="61"/>
      <c r="G30" s="61"/>
      <c r="H30" s="61"/>
      <c r="I30" s="61"/>
      <c r="J30" s="61"/>
      <c r="K30" s="61"/>
    </row>
  </sheetData>
  <mergeCells count="11">
    <mergeCell ref="B1:K1"/>
    <mergeCell ref="B2:K2"/>
    <mergeCell ref="B4:K4"/>
    <mergeCell ref="B15:K15"/>
    <mergeCell ref="B24:K24"/>
    <mergeCell ref="B25:K25"/>
    <mergeCell ref="B26:K26"/>
    <mergeCell ref="B27:K27"/>
    <mergeCell ref="B28:K28"/>
    <mergeCell ref="B29:K29"/>
    <mergeCell ref="B30:K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5" min="3" style="0" width="10"/>
    <col collapsed="false" customWidth="true" hidden="false" outlineLevel="0" max="6" min="6" style="0" width="18"/>
    <col collapsed="false" customWidth="true" hidden="false" outlineLevel="0" max="7" min="7" style="0" width="55"/>
  </cols>
  <sheetData>
    <row r="1" customFormat="false" ht="34.5" hidden="false" customHeight="true" outlineLevel="0" collapsed="false">
      <c r="B1" s="50" t="s">
        <v>207</v>
      </c>
      <c r="C1" s="50"/>
      <c r="D1" s="50"/>
      <c r="E1" s="50"/>
      <c r="F1" s="50"/>
      <c r="G1" s="50"/>
      <c r="H1" s="50"/>
      <c r="I1" s="50"/>
      <c r="J1" s="50"/>
      <c r="K1" s="50"/>
      <c r="L1" s="50"/>
      <c r="M1" s="50"/>
      <c r="N1" s="50"/>
    </row>
    <row r="3" customFormat="false" ht="15" hidden="false" customHeight="false" outlineLevel="0" collapsed="false">
      <c r="B3" s="52" t="s">
        <v>208</v>
      </c>
      <c r="C3" s="52"/>
      <c r="D3" s="52"/>
      <c r="E3" s="52"/>
      <c r="F3" s="52"/>
      <c r="G3" s="52"/>
      <c r="H3" s="52"/>
      <c r="I3" s="52"/>
      <c r="J3" s="52"/>
      <c r="K3" s="52"/>
      <c r="L3" s="52"/>
      <c r="M3" s="52"/>
    </row>
    <row r="4" customFormat="false" ht="23.85" hidden="false" customHeight="false" outlineLevel="0" collapsed="false">
      <c r="B4" s="53" t="s">
        <v>209</v>
      </c>
      <c r="C4" s="53" t="s">
        <v>210</v>
      </c>
      <c r="D4" s="53" t="s">
        <v>211</v>
      </c>
      <c r="E4" s="53" t="s">
        <v>212</v>
      </c>
      <c r="F4" s="53" t="s">
        <v>213</v>
      </c>
      <c r="G4" s="53" t="s">
        <v>172</v>
      </c>
    </row>
    <row r="5" customFormat="false" ht="43.5" hidden="false" customHeight="true" outlineLevel="0" collapsed="false">
      <c r="B5" s="54" t="n">
        <v>1</v>
      </c>
      <c r="C5" s="54" t="s">
        <v>214</v>
      </c>
      <c r="D5" s="54" t="s">
        <v>215</v>
      </c>
      <c r="E5" s="54" t="s">
        <v>216</v>
      </c>
      <c r="F5" s="54" t="s">
        <v>217</v>
      </c>
      <c r="G5" s="54" t="s">
        <v>218</v>
      </c>
    </row>
    <row r="6" customFormat="false" ht="43.5" hidden="false" customHeight="true" outlineLevel="0" collapsed="false">
      <c r="B6" s="56" t="n">
        <v>2</v>
      </c>
      <c r="C6" s="56" t="s">
        <v>219</v>
      </c>
      <c r="D6" s="56" t="s">
        <v>220</v>
      </c>
      <c r="E6" s="56" t="s">
        <v>221</v>
      </c>
      <c r="F6" s="56" t="s">
        <v>222</v>
      </c>
      <c r="G6" s="56" t="s">
        <v>223</v>
      </c>
    </row>
    <row r="7" customFormat="false" ht="43.5" hidden="false" customHeight="true" outlineLevel="0" collapsed="false">
      <c r="B7" s="54" t="n">
        <v>3</v>
      </c>
      <c r="C7" s="54" t="s">
        <v>224</v>
      </c>
      <c r="D7" s="54" t="s">
        <v>225</v>
      </c>
      <c r="E7" s="54" t="s">
        <v>226</v>
      </c>
      <c r="F7" s="54" t="s">
        <v>227</v>
      </c>
      <c r="G7" s="54" t="s">
        <v>228</v>
      </c>
    </row>
    <row r="8" customFormat="false" ht="43.5" hidden="false" customHeight="true" outlineLevel="0" collapsed="false">
      <c r="B8" s="56" t="n">
        <v>4</v>
      </c>
      <c r="C8" s="56" t="s">
        <v>229</v>
      </c>
      <c r="D8" s="56" t="s">
        <v>230</v>
      </c>
      <c r="E8" s="56" t="s">
        <v>231</v>
      </c>
      <c r="F8" s="56" t="s">
        <v>232</v>
      </c>
      <c r="G8" s="56" t="s">
        <v>233</v>
      </c>
    </row>
    <row r="9" customFormat="false" ht="43.5" hidden="false" customHeight="true" outlineLevel="0" collapsed="false">
      <c r="B9" s="54" t="n">
        <v>5</v>
      </c>
      <c r="C9" s="54" t="s">
        <v>234</v>
      </c>
      <c r="D9" s="54" t="s">
        <v>235</v>
      </c>
      <c r="E9" s="54" t="s">
        <v>236</v>
      </c>
      <c r="F9" s="54" t="s">
        <v>237</v>
      </c>
      <c r="G9" s="54" t="s">
        <v>238</v>
      </c>
    </row>
    <row r="10" customFormat="false" ht="43.5" hidden="false" customHeight="true" outlineLevel="0" collapsed="false">
      <c r="B10" s="56" t="n">
        <v>6</v>
      </c>
      <c r="C10" s="56" t="s">
        <v>239</v>
      </c>
      <c r="D10" s="56" t="s">
        <v>240</v>
      </c>
      <c r="E10" s="56" t="s">
        <v>241</v>
      </c>
      <c r="F10" s="56" t="s">
        <v>242</v>
      </c>
      <c r="G10" s="56" t="s">
        <v>243</v>
      </c>
    </row>
    <row r="11" customFormat="false" ht="43.5" hidden="false" customHeight="true" outlineLevel="0" collapsed="false">
      <c r="B11" s="54" t="n">
        <v>7</v>
      </c>
      <c r="C11" s="54" t="s">
        <v>244</v>
      </c>
      <c r="D11" s="54" t="s">
        <v>245</v>
      </c>
      <c r="E11" s="54" t="s">
        <v>246</v>
      </c>
      <c r="F11" s="54" t="s">
        <v>247</v>
      </c>
      <c r="G11" s="54" t="s">
        <v>248</v>
      </c>
    </row>
    <row r="12" customFormat="false" ht="43.5" hidden="false" customHeight="true" outlineLevel="0" collapsed="false">
      <c r="B12" s="56" t="n">
        <v>8</v>
      </c>
      <c r="C12" s="56" t="s">
        <v>249</v>
      </c>
      <c r="D12" s="56" t="s">
        <v>250</v>
      </c>
      <c r="E12" s="56" t="s">
        <v>251</v>
      </c>
      <c r="F12" s="56" t="s">
        <v>252</v>
      </c>
      <c r="G12" s="56" t="s">
        <v>253</v>
      </c>
    </row>
    <row r="14" customFormat="false" ht="15" hidden="false" customHeight="false" outlineLevel="0" collapsed="false">
      <c r="B14" s="52" t="s">
        <v>254</v>
      </c>
      <c r="C14" s="52"/>
      <c r="D14" s="52"/>
      <c r="E14" s="52"/>
      <c r="F14" s="52"/>
      <c r="G14" s="52"/>
      <c r="H14" s="52"/>
      <c r="I14" s="52"/>
      <c r="J14" s="52"/>
      <c r="K14" s="52"/>
      <c r="L14" s="52"/>
      <c r="M14" s="52"/>
    </row>
    <row r="15" customFormat="false" ht="15" hidden="false" customHeight="false" outlineLevel="0" collapsed="false">
      <c r="B15" s="53" t="s">
        <v>255</v>
      </c>
      <c r="C15" s="53" t="s">
        <v>256</v>
      </c>
      <c r="D15" s="53" t="s">
        <v>257</v>
      </c>
      <c r="E15" s="53" t="s">
        <v>258</v>
      </c>
      <c r="F15" s="53" t="s">
        <v>259</v>
      </c>
      <c r="G15" s="53" t="s">
        <v>260</v>
      </c>
    </row>
    <row r="16" customFormat="false" ht="30" hidden="false" customHeight="true" outlineLevel="0" collapsed="false">
      <c r="B16" s="54" t="s">
        <v>261</v>
      </c>
      <c r="C16" s="62" t="s">
        <v>40</v>
      </c>
      <c r="D16" s="54" t="s">
        <v>262</v>
      </c>
      <c r="E16" s="54" t="s">
        <v>263</v>
      </c>
      <c r="F16" s="54" t="s">
        <v>264</v>
      </c>
      <c r="G16" s="54" t="s">
        <v>265</v>
      </c>
    </row>
    <row r="17" customFormat="false" ht="30" hidden="false" customHeight="true" outlineLevel="0" collapsed="false">
      <c r="B17" s="56" t="s">
        <v>266</v>
      </c>
      <c r="C17" s="62" t="s">
        <v>40</v>
      </c>
      <c r="D17" s="56" t="s">
        <v>262</v>
      </c>
      <c r="E17" s="56" t="s">
        <v>267</v>
      </c>
      <c r="F17" s="56" t="s">
        <v>264</v>
      </c>
      <c r="G17" s="56" t="s">
        <v>268</v>
      </c>
    </row>
    <row r="18" customFormat="false" ht="30" hidden="false" customHeight="true" outlineLevel="0" collapsed="false">
      <c r="B18" s="54" t="s">
        <v>269</v>
      </c>
      <c r="C18" s="62" t="s">
        <v>40</v>
      </c>
      <c r="D18" s="54" t="s">
        <v>262</v>
      </c>
      <c r="E18" s="54" t="s">
        <v>263</v>
      </c>
      <c r="F18" s="54" t="s">
        <v>264</v>
      </c>
      <c r="G18" s="54" t="s">
        <v>270</v>
      </c>
    </row>
    <row r="19" customFormat="false" ht="30" hidden="false" customHeight="true" outlineLevel="0" collapsed="false">
      <c r="B19" s="56" t="s">
        <v>271</v>
      </c>
      <c r="C19" s="62" t="s">
        <v>40</v>
      </c>
      <c r="D19" s="56" t="s">
        <v>262</v>
      </c>
      <c r="E19" s="56" t="s">
        <v>263</v>
      </c>
      <c r="F19" s="56" t="s">
        <v>264</v>
      </c>
      <c r="G19" s="56" t="s">
        <v>272</v>
      </c>
    </row>
    <row r="20" customFormat="false" ht="30" hidden="false" customHeight="true" outlineLevel="0" collapsed="false">
      <c r="B20" s="54" t="s">
        <v>273</v>
      </c>
      <c r="C20" s="63" t="s">
        <v>61</v>
      </c>
      <c r="D20" s="54" t="s">
        <v>262</v>
      </c>
      <c r="E20" s="54" t="s">
        <v>263</v>
      </c>
      <c r="F20" s="54" t="s">
        <v>264</v>
      </c>
      <c r="G20" s="54" t="s">
        <v>274</v>
      </c>
    </row>
    <row r="21" customFormat="false" ht="30" hidden="false" customHeight="true" outlineLevel="0" collapsed="false">
      <c r="B21" s="56" t="s">
        <v>275</v>
      </c>
      <c r="C21" s="63" t="s">
        <v>61</v>
      </c>
      <c r="D21" s="56" t="s">
        <v>262</v>
      </c>
      <c r="E21" s="56" t="s">
        <v>263</v>
      </c>
      <c r="F21" s="56" t="s">
        <v>264</v>
      </c>
      <c r="G21" s="56" t="s">
        <v>276</v>
      </c>
    </row>
    <row r="22" customFormat="false" ht="30" hidden="false" customHeight="true" outlineLevel="0" collapsed="false">
      <c r="B22" s="54" t="s">
        <v>277</v>
      </c>
      <c r="C22" s="63" t="s">
        <v>61</v>
      </c>
      <c r="D22" s="54" t="s">
        <v>262</v>
      </c>
      <c r="E22" s="54" t="s">
        <v>263</v>
      </c>
      <c r="F22" s="54" t="s">
        <v>264</v>
      </c>
      <c r="G22" s="54" t="s">
        <v>278</v>
      </c>
    </row>
    <row r="23" customFormat="false" ht="30" hidden="false" customHeight="true" outlineLevel="0" collapsed="false">
      <c r="B23" s="56" t="s">
        <v>279</v>
      </c>
      <c r="C23" s="63" t="s">
        <v>61</v>
      </c>
      <c r="D23" s="56" t="s">
        <v>262</v>
      </c>
      <c r="E23" s="56" t="s">
        <v>267</v>
      </c>
      <c r="F23" s="56" t="s">
        <v>264</v>
      </c>
      <c r="G23" s="56" t="s">
        <v>280</v>
      </c>
    </row>
    <row r="24" customFormat="false" ht="30" hidden="false" customHeight="true" outlineLevel="0" collapsed="false">
      <c r="B24" s="54" t="s">
        <v>281</v>
      </c>
      <c r="C24" s="63" t="s">
        <v>61</v>
      </c>
      <c r="D24" s="54" t="s">
        <v>262</v>
      </c>
      <c r="E24" s="54" t="s">
        <v>263</v>
      </c>
      <c r="F24" s="54" t="s">
        <v>264</v>
      </c>
      <c r="G24" s="54" t="s">
        <v>282</v>
      </c>
    </row>
    <row r="25" customFormat="false" ht="30" hidden="false" customHeight="true" outlineLevel="0" collapsed="false">
      <c r="B25" s="56" t="s">
        <v>283</v>
      </c>
      <c r="C25" s="63" t="s">
        <v>61</v>
      </c>
      <c r="D25" s="56" t="s">
        <v>262</v>
      </c>
      <c r="E25" s="56" t="s">
        <v>263</v>
      </c>
      <c r="F25" s="56" t="s">
        <v>264</v>
      </c>
      <c r="G25" s="56" t="s">
        <v>284</v>
      </c>
    </row>
    <row r="26" customFormat="false" ht="30" hidden="false" customHeight="true" outlineLevel="0" collapsed="false">
      <c r="B26" s="54" t="s">
        <v>285</v>
      </c>
      <c r="C26" s="63" t="s">
        <v>61</v>
      </c>
      <c r="D26" s="54" t="s">
        <v>262</v>
      </c>
      <c r="E26" s="54" t="s">
        <v>263</v>
      </c>
      <c r="F26" s="54" t="s">
        <v>264</v>
      </c>
      <c r="G26" s="54" t="s">
        <v>286</v>
      </c>
    </row>
    <row r="27" customFormat="false" ht="30" hidden="false" customHeight="true" outlineLevel="0" collapsed="false">
      <c r="B27" s="56" t="s">
        <v>287</v>
      </c>
      <c r="C27" s="63" t="s">
        <v>61</v>
      </c>
      <c r="D27" s="56" t="s">
        <v>262</v>
      </c>
      <c r="E27" s="56" t="s">
        <v>263</v>
      </c>
      <c r="F27" s="56" t="s">
        <v>264</v>
      </c>
      <c r="G27" s="56" t="s">
        <v>288</v>
      </c>
    </row>
    <row r="28" customFormat="false" ht="30" hidden="false" customHeight="true" outlineLevel="0" collapsed="false">
      <c r="B28" s="54" t="s">
        <v>289</v>
      </c>
      <c r="C28" s="64" t="s">
        <v>45</v>
      </c>
      <c r="D28" s="54" t="s">
        <v>290</v>
      </c>
      <c r="E28" s="54" t="s">
        <v>263</v>
      </c>
      <c r="F28" s="54" t="s">
        <v>291</v>
      </c>
      <c r="G28" s="54" t="s">
        <v>292</v>
      </c>
    </row>
    <row r="29" customFormat="false" ht="30" hidden="false" customHeight="true" outlineLevel="0" collapsed="false">
      <c r="B29" s="56" t="s">
        <v>293</v>
      </c>
      <c r="C29" s="64" t="s">
        <v>45</v>
      </c>
      <c r="D29" s="56" t="s">
        <v>290</v>
      </c>
      <c r="E29" s="56" t="s">
        <v>263</v>
      </c>
      <c r="F29" s="56" t="s">
        <v>264</v>
      </c>
      <c r="G29" s="56" t="s">
        <v>294</v>
      </c>
    </row>
    <row r="30" customFormat="false" ht="30" hidden="false" customHeight="true" outlineLevel="0" collapsed="false">
      <c r="B30" s="54" t="s">
        <v>295</v>
      </c>
      <c r="C30" s="64" t="s">
        <v>45</v>
      </c>
      <c r="D30" s="54" t="s">
        <v>290</v>
      </c>
      <c r="E30" s="54" t="s">
        <v>263</v>
      </c>
      <c r="F30" s="54" t="s">
        <v>296</v>
      </c>
      <c r="G30" s="54" t="s">
        <v>297</v>
      </c>
    </row>
    <row r="31" customFormat="false" ht="30" hidden="false" customHeight="true" outlineLevel="0" collapsed="false">
      <c r="B31" s="56" t="s">
        <v>298</v>
      </c>
      <c r="C31" s="64" t="s">
        <v>45</v>
      </c>
      <c r="D31" s="56" t="s">
        <v>290</v>
      </c>
      <c r="E31" s="56" t="s">
        <v>263</v>
      </c>
      <c r="F31" s="56" t="s">
        <v>264</v>
      </c>
      <c r="G31" s="56" t="s">
        <v>299</v>
      </c>
    </row>
    <row r="32" customFormat="false" ht="30" hidden="false" customHeight="true" outlineLevel="0" collapsed="false">
      <c r="B32" s="54" t="s">
        <v>300</v>
      </c>
      <c r="C32" s="64" t="s">
        <v>45</v>
      </c>
      <c r="D32" s="54" t="s">
        <v>290</v>
      </c>
      <c r="E32" s="54" t="s">
        <v>267</v>
      </c>
      <c r="F32" s="54" t="s">
        <v>264</v>
      </c>
      <c r="G32" s="54" t="s">
        <v>301</v>
      </c>
    </row>
  </sheetData>
  <mergeCells count="3">
    <mergeCell ref="B1:N1"/>
    <mergeCell ref="B3:M3"/>
    <mergeCell ref="B14:M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P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0"/>
    <col collapsed="false" customWidth="true" hidden="false" outlineLevel="0" max="4" min="4" style="0" width="14"/>
    <col collapsed="false" customWidth="true" hidden="false" outlineLevel="0" max="5" min="5" style="0" width="20"/>
    <col collapsed="false" customWidth="true" hidden="false" outlineLevel="0" max="6" min="6" style="0" width="22"/>
    <col collapsed="false" customWidth="true" hidden="false" outlineLevel="0" max="7" min="7" style="0" width="18"/>
    <col collapsed="false" customWidth="true" hidden="false" outlineLevel="0" max="9" min="8" style="0" width="20"/>
  </cols>
  <sheetData>
    <row r="1" customFormat="false" ht="34.5" hidden="false" customHeight="true" outlineLevel="0" collapsed="false">
      <c r="B1" s="50" t="s">
        <v>302</v>
      </c>
      <c r="C1" s="50"/>
      <c r="D1" s="50"/>
      <c r="E1" s="50"/>
      <c r="F1" s="50"/>
      <c r="G1" s="50"/>
      <c r="H1" s="50"/>
      <c r="I1" s="50"/>
      <c r="J1" s="50"/>
      <c r="K1" s="50"/>
      <c r="L1" s="50"/>
      <c r="M1" s="50"/>
      <c r="N1" s="50"/>
      <c r="O1" s="50"/>
      <c r="P1" s="50"/>
    </row>
    <row r="3" customFormat="false" ht="15" hidden="false" customHeight="false" outlineLevel="0" collapsed="false">
      <c r="B3" s="52" t="s">
        <v>303</v>
      </c>
      <c r="C3" s="52"/>
      <c r="D3" s="52"/>
      <c r="E3" s="52"/>
      <c r="F3" s="52"/>
      <c r="G3" s="52"/>
      <c r="H3" s="52"/>
      <c r="I3" s="52"/>
      <c r="J3" s="52"/>
      <c r="K3" s="52"/>
      <c r="L3" s="52"/>
      <c r="M3" s="52"/>
      <c r="N3" s="52"/>
      <c r="O3" s="52"/>
      <c r="P3" s="52"/>
    </row>
    <row r="4" customFormat="false" ht="27.75" hidden="false" customHeight="true" outlineLevel="0" collapsed="false">
      <c r="B4" s="53" t="s">
        <v>304</v>
      </c>
      <c r="C4" s="53" t="s">
        <v>305</v>
      </c>
      <c r="D4" s="53" t="s">
        <v>306</v>
      </c>
      <c r="E4" s="53" t="s">
        <v>307</v>
      </c>
      <c r="F4" s="53" t="s">
        <v>308</v>
      </c>
      <c r="G4" s="53" t="s">
        <v>309</v>
      </c>
      <c r="H4" s="53" t="s">
        <v>310</v>
      </c>
    </row>
    <row r="5" customFormat="false" ht="15" hidden="false" customHeight="false" outlineLevel="0" collapsed="false">
      <c r="B5" s="65" t="s">
        <v>311</v>
      </c>
      <c r="C5" s="66" t="n">
        <v>10026100</v>
      </c>
      <c r="D5" s="66" t="n">
        <v>216231</v>
      </c>
      <c r="E5" s="66" t="n">
        <v>1749454</v>
      </c>
      <c r="F5" s="66" t="n">
        <f aca="false">E5/100</f>
        <v>17494.54</v>
      </c>
      <c r="G5" s="67" t="s">
        <v>312</v>
      </c>
      <c r="H5" s="67" t="s">
        <v>312</v>
      </c>
    </row>
    <row r="6" customFormat="false" ht="15" hidden="false" customHeight="false" outlineLevel="0" collapsed="false">
      <c r="B6" s="68" t="s">
        <v>313</v>
      </c>
      <c r="C6" s="69" t="n">
        <v>10800444</v>
      </c>
      <c r="D6" s="69" t="n">
        <v>285500</v>
      </c>
      <c r="E6" s="69" t="n">
        <v>1983789</v>
      </c>
      <c r="F6" s="69" t="n">
        <f aca="false">E6/100</f>
        <v>19837.89</v>
      </c>
      <c r="G6" s="70" t="n">
        <f aca="false">(E6-E5)/E5</f>
        <v>0.133947505907557</v>
      </c>
      <c r="H6" s="70" t="n">
        <f aca="false">(C6-C5)/C5</f>
        <v>0.077232822333709</v>
      </c>
    </row>
    <row r="7" customFormat="false" ht="15" hidden="false" customHeight="false" outlineLevel="0" collapsed="false">
      <c r="B7" s="65" t="s">
        <v>314</v>
      </c>
      <c r="C7" s="66" t="n">
        <v>11815931</v>
      </c>
      <c r="D7" s="66" t="n">
        <v>358962</v>
      </c>
      <c r="E7" s="66" t="n">
        <v>2444754</v>
      </c>
      <c r="F7" s="66" t="n">
        <f aca="false">E7/100</f>
        <v>24447.54</v>
      </c>
      <c r="G7" s="71" t="n">
        <f aca="false">(E7-E6)/E6</f>
        <v>0.232365942144049</v>
      </c>
      <c r="H7" s="71" t="n">
        <f aca="false">(C7-C6)/C6</f>
        <v>0.0940227086960499</v>
      </c>
    </row>
    <row r="8" customFormat="false" ht="15" hidden="false" customHeight="false" outlineLevel="0" collapsed="false">
      <c r="B8" s="68" t="s">
        <v>315</v>
      </c>
      <c r="C8" s="69" t="n">
        <v>13137428</v>
      </c>
      <c r="D8" s="69" t="n">
        <v>437455</v>
      </c>
      <c r="E8" s="69" t="n">
        <v>3039171</v>
      </c>
      <c r="F8" s="69" t="n">
        <f aca="false">E8/100</f>
        <v>30391.71</v>
      </c>
      <c r="G8" s="70" t="n">
        <f aca="false">(E8-E7)/E7</f>
        <v>0.243139800568892</v>
      </c>
      <c r="H8" s="70" t="n">
        <f aca="false">(C8-C7)/C7</f>
        <v>0.11184027733405</v>
      </c>
    </row>
    <row r="9" customFormat="false" ht="15" hidden="false" customHeight="false" outlineLevel="0" collapsed="false">
      <c r="B9" s="65" t="s">
        <v>316</v>
      </c>
      <c r="C9" s="66" t="n">
        <v>14729756</v>
      </c>
      <c r="D9" s="66" t="n">
        <v>481986</v>
      </c>
      <c r="E9" s="66" t="n">
        <v>3702864</v>
      </c>
      <c r="F9" s="66" t="n">
        <f aca="false">E9/100</f>
        <v>37028.64</v>
      </c>
      <c r="G9" s="71" t="n">
        <f aca="false">(E9-E8)/E8</f>
        <v>0.218379617336438</v>
      </c>
      <c r="H9" s="71" t="n">
        <f aca="false">(C9-C8)/C8</f>
        <v>0.121205459698809</v>
      </c>
    </row>
    <row r="10" customFormat="false" ht="15" hidden="false" customHeight="false" outlineLevel="0" collapsed="false">
      <c r="B10" s="68" t="s">
        <v>317</v>
      </c>
      <c r="C10" s="69" t="n">
        <v>20681566</v>
      </c>
      <c r="D10" s="69" t="n">
        <v>472035</v>
      </c>
      <c r="E10" s="69" t="n">
        <v>4487276</v>
      </c>
      <c r="F10" s="69" t="n">
        <f aca="false">E10/100</f>
        <v>44872.76</v>
      </c>
      <c r="G10" s="70" t="n">
        <f aca="false">(E10-E9)/E9</f>
        <v>0.211839268198886</v>
      </c>
      <c r="H10" s="70" t="n">
        <f aca="false">(C10-C9)/C9</f>
        <v>0.404067114214248</v>
      </c>
    </row>
    <row r="11" customFormat="false" ht="15" hidden="false" customHeight="false" outlineLevel="0" collapsed="false">
      <c r="B11" s="65" t="s">
        <v>318</v>
      </c>
      <c r="C11" s="66" t="n">
        <v>17932616</v>
      </c>
      <c r="D11" s="66" t="n">
        <v>498713</v>
      </c>
      <c r="E11" s="66" t="n">
        <v>5075807</v>
      </c>
      <c r="F11" s="66" t="n">
        <f aca="false">E11/100</f>
        <v>50758.07</v>
      </c>
      <c r="G11" s="71" t="n">
        <f aca="false">(E11-E10)/E10</f>
        <v>0.131155516175069</v>
      </c>
      <c r="H11" s="71" t="n">
        <f aca="false">(C11-C10)/C10</f>
        <v>-0.132917884458072</v>
      </c>
    </row>
    <row r="12" customFormat="false" ht="15" hidden="false" customHeight="false" outlineLevel="0" collapsed="false">
      <c r="B12" s="68" t="s">
        <v>319</v>
      </c>
      <c r="C12" s="69" t="n">
        <v>23739378</v>
      </c>
      <c r="D12" s="69" t="n">
        <v>514747</v>
      </c>
      <c r="E12" s="69" t="n">
        <v>5823786</v>
      </c>
      <c r="F12" s="69" t="n">
        <f aca="false">E12/100</f>
        <v>58237.86</v>
      </c>
      <c r="G12" s="70" t="n">
        <f aca="false">(E12-E11)/E11</f>
        <v>0.147361591959663</v>
      </c>
      <c r="H12" s="70" t="n">
        <f aca="false">(C12-C11)/C11</f>
        <v>0.323810089950066</v>
      </c>
    </row>
    <row r="13" customFormat="false" ht="15" hidden="false" customHeight="false" outlineLevel="0" collapsed="false">
      <c r="B13" s="65" t="s">
        <v>320</v>
      </c>
      <c r="C13" s="66" t="n">
        <v>22625079</v>
      </c>
      <c r="D13" s="66" t="n">
        <v>520419</v>
      </c>
      <c r="E13" s="66" t="n">
        <v>7305152</v>
      </c>
      <c r="F13" s="66" t="n">
        <f aca="false">E13/100</f>
        <v>73051.52</v>
      </c>
      <c r="G13" s="71" t="n">
        <f aca="false">(E13-E12)/E12</f>
        <v>0.25436477233195</v>
      </c>
      <c r="H13" s="71" t="n">
        <f aca="false">(C13-C12)/C12</f>
        <v>-0.0469388456597304</v>
      </c>
    </row>
    <row r="14" customFormat="false" ht="15" hidden="false" customHeight="false" outlineLevel="0" collapsed="false">
      <c r="B14" s="72" t="s">
        <v>321</v>
      </c>
      <c r="C14" s="72"/>
      <c r="D14" s="72"/>
      <c r="E14" s="73" t="s">
        <v>322</v>
      </c>
      <c r="F14" s="74" t="n">
        <f aca="false">(E13/E5)^(1/8)-1</f>
        <v>0.195613585377752</v>
      </c>
      <c r="G14" s="73" t="s">
        <v>323</v>
      </c>
      <c r="H14" s="74" t="n">
        <f aca="false">(C13/C5)^(1/8)-1</f>
        <v>0.1070882948828</v>
      </c>
    </row>
    <row r="38" customFormat="false" ht="15" hidden="false" customHeight="false" outlineLevel="0" collapsed="false">
      <c r="B38" s="52" t="s">
        <v>324</v>
      </c>
      <c r="C38" s="52"/>
      <c r="D38" s="52"/>
      <c r="E38" s="52"/>
      <c r="F38" s="52"/>
      <c r="G38" s="52"/>
      <c r="H38" s="52"/>
      <c r="I38" s="52"/>
      <c r="J38" s="52"/>
      <c r="K38" s="52"/>
      <c r="L38" s="52"/>
      <c r="M38" s="52"/>
      <c r="N38" s="52"/>
      <c r="O38" s="52"/>
      <c r="P38" s="52"/>
    </row>
    <row r="39" customFormat="false" ht="35.05" hidden="false" customHeight="false" outlineLevel="0" collapsed="false">
      <c r="B39" s="53" t="s">
        <v>256</v>
      </c>
      <c r="C39" s="53" t="s">
        <v>307</v>
      </c>
      <c r="D39" s="53" t="s">
        <v>325</v>
      </c>
      <c r="E39" s="53" t="s">
        <v>326</v>
      </c>
      <c r="F39" s="53" t="s">
        <v>327</v>
      </c>
      <c r="G39" s="53" t="s">
        <v>306</v>
      </c>
      <c r="H39" s="53" t="s">
        <v>328</v>
      </c>
    </row>
    <row r="40" customFormat="false" ht="15" hidden="false" customHeight="false" outlineLevel="0" collapsed="false">
      <c r="B40" s="67" t="s">
        <v>329</v>
      </c>
      <c r="C40" s="66" t="n">
        <v>3294286</v>
      </c>
      <c r="D40" s="71" t="n">
        <f aca="false">C40/$C$43</f>
        <v>0.450953792611023</v>
      </c>
      <c r="E40" s="66" t="n">
        <v>5139661</v>
      </c>
      <c r="F40" s="71" t="n">
        <f aca="false">E40/$E$43</f>
        <v>0.227166543816267</v>
      </c>
      <c r="G40" s="66" t="n">
        <v>339424</v>
      </c>
      <c r="H40" s="71" t="n">
        <f aca="false">G40/$G$43</f>
        <v>0.652212928428824</v>
      </c>
    </row>
    <row r="41" customFormat="false" ht="15" hidden="false" customHeight="false" outlineLevel="0" collapsed="false">
      <c r="B41" s="75" t="s">
        <v>330</v>
      </c>
      <c r="C41" s="69" t="n">
        <v>2010723</v>
      </c>
      <c r="D41" s="70" t="n">
        <f aca="false">C41/$C$43</f>
        <v>0.275247250159887</v>
      </c>
      <c r="E41" s="69" t="n">
        <v>6552362</v>
      </c>
      <c r="F41" s="70" t="n">
        <f aca="false">E41/$E$43</f>
        <v>0.289606148999524</v>
      </c>
      <c r="G41" s="69" t="n">
        <v>111946</v>
      </c>
      <c r="H41" s="70" t="n">
        <f aca="false">G41/$G$43</f>
        <v>0.215107442272477</v>
      </c>
    </row>
    <row r="42" customFormat="false" ht="15" hidden="false" customHeight="false" outlineLevel="0" collapsed="false">
      <c r="B42" s="67" t="s">
        <v>331</v>
      </c>
      <c r="C42" s="66" t="n">
        <v>2000143</v>
      </c>
      <c r="D42" s="71" t="n">
        <f aca="false">C42/$C$43</f>
        <v>0.27379895722909</v>
      </c>
      <c r="E42" s="66" t="n">
        <v>10933056</v>
      </c>
      <c r="F42" s="71" t="n">
        <f aca="false">E42/$E$43</f>
        <v>0.483227307184209</v>
      </c>
      <c r="G42" s="66" t="n">
        <v>69049</v>
      </c>
      <c r="H42" s="71" t="n">
        <f aca="false">G42/$G$43</f>
        <v>0.1326796292987</v>
      </c>
    </row>
    <row r="43" customFormat="false" ht="15" hidden="false" customHeight="false" outlineLevel="0" collapsed="false">
      <c r="B43" s="73" t="s">
        <v>332</v>
      </c>
      <c r="C43" s="76" t="n">
        <v>7305152</v>
      </c>
      <c r="D43" s="74" t="n">
        <f aca="false">C43/$C$43</f>
        <v>1</v>
      </c>
      <c r="E43" s="76" t="n">
        <v>22625079</v>
      </c>
      <c r="F43" s="74" t="n">
        <f aca="false">E43/$E$43</f>
        <v>1</v>
      </c>
      <c r="G43" s="76" t="n">
        <v>520419</v>
      </c>
      <c r="H43" s="74" t="n">
        <f aca="false">G43/$G$43</f>
        <v>1</v>
      </c>
    </row>
    <row r="45" customFormat="false" ht="15" hidden="false" customHeight="false" outlineLevel="0" collapsed="false">
      <c r="B45" s="52" t="s">
        <v>333</v>
      </c>
      <c r="C45" s="52"/>
      <c r="D45" s="52"/>
      <c r="E45" s="52"/>
      <c r="F45" s="52"/>
      <c r="G45" s="52"/>
      <c r="H45" s="52"/>
      <c r="I45" s="52"/>
      <c r="J45" s="52"/>
      <c r="K45" s="52"/>
      <c r="L45" s="52"/>
      <c r="M45" s="52"/>
      <c r="N45" s="52"/>
      <c r="O45" s="52"/>
      <c r="P45" s="52"/>
    </row>
    <row r="46" customFormat="false" ht="36" hidden="false" customHeight="true" outlineLevel="0" collapsed="false">
      <c r="B46" s="53" t="s">
        <v>33</v>
      </c>
      <c r="C46" s="53" t="s">
        <v>256</v>
      </c>
      <c r="D46" s="53" t="s">
        <v>326</v>
      </c>
      <c r="E46" s="53" t="s">
        <v>306</v>
      </c>
      <c r="F46" s="53" t="s">
        <v>307</v>
      </c>
      <c r="G46" s="53" t="s">
        <v>334</v>
      </c>
      <c r="H46" s="53" t="s">
        <v>335</v>
      </c>
      <c r="I46" s="53" t="s">
        <v>336</v>
      </c>
    </row>
    <row r="47" customFormat="false" ht="21.75" hidden="false" customHeight="true" outlineLevel="0" collapsed="false">
      <c r="B47" s="77" t="s">
        <v>261</v>
      </c>
      <c r="C47" s="77" t="s">
        <v>40</v>
      </c>
      <c r="D47" s="78" t="n">
        <v>1306992</v>
      </c>
      <c r="E47" s="79" t="n">
        <v>48304.8</v>
      </c>
      <c r="F47" s="78" t="n">
        <v>584697</v>
      </c>
      <c r="G47" s="80" t="n">
        <f aca="false">F47/7305152</f>
        <v>0.0800389916595849</v>
      </c>
      <c r="H47" s="78" t="n">
        <f aca="false">F47*100000/D47</f>
        <v>44736.0810165632</v>
      </c>
      <c r="I47" s="78" t="n">
        <f aca="false">F47*100/E47</f>
        <v>1210.43250360213</v>
      </c>
    </row>
    <row r="48" customFormat="false" ht="21.75" hidden="false" customHeight="true" outlineLevel="0" collapsed="false">
      <c r="B48" s="77" t="s">
        <v>266</v>
      </c>
      <c r="C48" s="77" t="s">
        <v>40</v>
      </c>
      <c r="D48" s="78" t="n">
        <v>1731818</v>
      </c>
      <c r="E48" s="79" t="n">
        <v>92552.9</v>
      </c>
      <c r="F48" s="78" t="n">
        <v>1442745</v>
      </c>
      <c r="G48" s="80" t="n">
        <f aca="false">F48/7305152</f>
        <v>0.197496917244159</v>
      </c>
      <c r="H48" s="78" t="n">
        <f aca="false">F48*100000/D48</f>
        <v>83308.1189824797</v>
      </c>
      <c r="I48" s="78" t="n">
        <f aca="false">F48*100/E48</f>
        <v>1558.83284046205</v>
      </c>
    </row>
    <row r="49" customFormat="false" ht="21.75" hidden="false" customHeight="true" outlineLevel="0" collapsed="false">
      <c r="B49" s="77" t="s">
        <v>269</v>
      </c>
      <c r="C49" s="77" t="s">
        <v>40</v>
      </c>
      <c r="D49" s="78" t="n">
        <v>1105607</v>
      </c>
      <c r="E49" s="79" t="n">
        <v>38773.1</v>
      </c>
      <c r="F49" s="78" t="n">
        <v>635119</v>
      </c>
      <c r="G49" s="80" t="n">
        <f aca="false">F49/7305152</f>
        <v>0.0869412436592695</v>
      </c>
      <c r="H49" s="78" t="n">
        <f aca="false">F49*100000/D49</f>
        <v>57445.2766670254</v>
      </c>
      <c r="I49" s="78" t="n">
        <f aca="false">F49*100/E49</f>
        <v>1638.04029082018</v>
      </c>
    </row>
    <row r="50" customFormat="false" ht="21.75" hidden="false" customHeight="true" outlineLevel="0" collapsed="false">
      <c r="B50" s="77" t="s">
        <v>271</v>
      </c>
      <c r="C50" s="77" t="s">
        <v>40</v>
      </c>
      <c r="D50" s="78" t="n">
        <v>995244</v>
      </c>
      <c r="E50" s="79" t="n">
        <v>159792.7</v>
      </c>
      <c r="F50" s="78" t="n">
        <v>631725</v>
      </c>
      <c r="G50" s="80" t="n">
        <f aca="false">F50/7305152</f>
        <v>0.08647664004801</v>
      </c>
      <c r="H50" s="78" t="n">
        <f aca="false">F50*100000/D50</f>
        <v>63474.3841711178</v>
      </c>
      <c r="I50" s="78" t="n">
        <f aca="false">F50*100/E50</f>
        <v>395.340337825195</v>
      </c>
    </row>
    <row r="51" customFormat="false" ht="21.75" hidden="false" customHeight="true" outlineLevel="0" collapsed="false">
      <c r="B51" s="81" t="s">
        <v>273</v>
      </c>
      <c r="C51" s="81" t="s">
        <v>61</v>
      </c>
      <c r="D51" s="82" t="n">
        <v>667829</v>
      </c>
      <c r="E51" s="83" t="n">
        <v>24573.4</v>
      </c>
      <c r="F51" s="82" t="n">
        <v>310856</v>
      </c>
      <c r="G51" s="84" t="n">
        <f aca="false">F51/7305152</f>
        <v>0.0425529817860053</v>
      </c>
      <c r="H51" s="82" t="n">
        <f aca="false">F51*100000/D51</f>
        <v>46547.2448785542</v>
      </c>
      <c r="I51" s="82" t="n">
        <f aca="false">F51*100/E51</f>
        <v>1265.01013290794</v>
      </c>
    </row>
    <row r="52" customFormat="false" ht="21.75" hidden="false" customHeight="true" outlineLevel="0" collapsed="false">
      <c r="B52" s="81" t="s">
        <v>275</v>
      </c>
      <c r="C52" s="81" t="s">
        <v>61</v>
      </c>
      <c r="D52" s="82" t="n">
        <v>371997</v>
      </c>
      <c r="E52" s="83" t="n">
        <v>3419.7</v>
      </c>
      <c r="F52" s="82" t="n">
        <v>42946</v>
      </c>
      <c r="G52" s="84" t="n">
        <f aca="false">F52/7305152</f>
        <v>0.00587886466975636</v>
      </c>
      <c r="H52" s="82" t="n">
        <f aca="false">F52*100000/D52</f>
        <v>11544.7167584685</v>
      </c>
      <c r="I52" s="82" t="n">
        <f aca="false">F52*100/E52</f>
        <v>1255.84115565693</v>
      </c>
    </row>
    <row r="53" customFormat="false" ht="21.75" hidden="false" customHeight="true" outlineLevel="0" collapsed="false">
      <c r="B53" s="81" t="s">
        <v>277</v>
      </c>
      <c r="C53" s="81" t="s">
        <v>61</v>
      </c>
      <c r="D53" s="82" t="n">
        <v>119090</v>
      </c>
      <c r="E53" s="83" t="n">
        <v>1919.3</v>
      </c>
      <c r="F53" s="82" t="n">
        <v>57381</v>
      </c>
      <c r="G53" s="84" t="n">
        <f aca="false">F53/7305152</f>
        <v>0.00785486735936501</v>
      </c>
      <c r="H53" s="82" t="n">
        <f aca="false">F53*100000/D53</f>
        <v>48182.8868922664</v>
      </c>
      <c r="I53" s="82" t="n">
        <f aca="false">F53*100/E53</f>
        <v>2989.68373886313</v>
      </c>
    </row>
    <row r="54" customFormat="false" ht="21.75" hidden="false" customHeight="true" outlineLevel="0" collapsed="false">
      <c r="B54" s="81" t="s">
        <v>279</v>
      </c>
      <c r="C54" s="81" t="s">
        <v>61</v>
      </c>
      <c r="D54" s="82" t="n">
        <v>990898</v>
      </c>
      <c r="E54" s="83" t="n">
        <v>16361</v>
      </c>
      <c r="F54" s="82" t="n">
        <v>348746</v>
      </c>
      <c r="G54" s="84" t="n">
        <f aca="false">F54/7305152</f>
        <v>0.0477397321780574</v>
      </c>
      <c r="H54" s="82" t="n">
        <f aca="false">F54*100000/D54</f>
        <v>35194.9443837812</v>
      </c>
      <c r="I54" s="82" t="n">
        <f aca="false">F54*100/E54</f>
        <v>2131.56897500153</v>
      </c>
    </row>
    <row r="55" customFormat="false" ht="21.75" hidden="false" customHeight="true" outlineLevel="0" collapsed="false">
      <c r="B55" s="81" t="s">
        <v>281</v>
      </c>
      <c r="C55" s="81" t="s">
        <v>61</v>
      </c>
      <c r="D55" s="82" t="n">
        <v>403299</v>
      </c>
      <c r="E55" s="83" t="n">
        <v>14230.4</v>
      </c>
      <c r="F55" s="82" t="n">
        <v>175234</v>
      </c>
      <c r="G55" s="84" t="n">
        <f aca="false">F55/7305152</f>
        <v>0.0239877281129811</v>
      </c>
      <c r="H55" s="82" t="n">
        <f aca="false">F55*100000/D55</f>
        <v>43450.1449296924</v>
      </c>
      <c r="I55" s="82" t="n">
        <f aca="false">F55*100/E55</f>
        <v>1231.40600404767</v>
      </c>
    </row>
    <row r="56" customFormat="false" ht="21.75" hidden="false" customHeight="true" outlineLevel="0" collapsed="false">
      <c r="B56" s="81" t="s">
        <v>283</v>
      </c>
      <c r="C56" s="81" t="s">
        <v>61</v>
      </c>
      <c r="D56" s="82" t="n">
        <v>178965</v>
      </c>
      <c r="E56" s="83" t="n">
        <v>4378.6</v>
      </c>
      <c r="F56" s="82" t="n">
        <v>97840</v>
      </c>
      <c r="G56" s="84" t="n">
        <f aca="false">F56/7305152</f>
        <v>0.0133932873676003</v>
      </c>
      <c r="H56" s="82" t="n">
        <f aca="false">F56*100000/D56</f>
        <v>54669.9075238175</v>
      </c>
      <c r="I56" s="82" t="n">
        <f aca="false">F56*100/E56</f>
        <v>2234.50417941808</v>
      </c>
    </row>
    <row r="57" customFormat="false" ht="21.75" hidden="false" customHeight="true" outlineLevel="0" collapsed="false">
      <c r="B57" s="81" t="s">
        <v>285</v>
      </c>
      <c r="C57" s="81" t="s">
        <v>61</v>
      </c>
      <c r="D57" s="82" t="n">
        <v>632198</v>
      </c>
      <c r="E57" s="83" t="n">
        <v>8143.4</v>
      </c>
      <c r="F57" s="82" t="n">
        <v>186467</v>
      </c>
      <c r="G57" s="84" t="n">
        <f aca="false">F57/7305152</f>
        <v>0.0255254100120025</v>
      </c>
      <c r="H57" s="82" t="n">
        <f aca="false">F57*100000/D57</f>
        <v>29495.0316198406</v>
      </c>
      <c r="I57" s="82" t="n">
        <f aca="false">F57*100/E57</f>
        <v>2289.79296117101</v>
      </c>
    </row>
    <row r="58" customFormat="false" ht="21.75" hidden="false" customHeight="true" outlineLevel="0" collapsed="false">
      <c r="B58" s="81" t="s">
        <v>287</v>
      </c>
      <c r="C58" s="81" t="s">
        <v>61</v>
      </c>
      <c r="D58" s="82" t="n">
        <v>324972</v>
      </c>
      <c r="E58" s="83" t="n">
        <v>4431.3</v>
      </c>
      <c r="F58" s="82" t="n">
        <v>143236</v>
      </c>
      <c r="G58" s="84" t="n">
        <f aca="false">F58/7305152</f>
        <v>0.0196075317803107</v>
      </c>
      <c r="H58" s="82" t="n">
        <f aca="false">F58*100000/D58</f>
        <v>44076.4127370974</v>
      </c>
      <c r="I58" s="82" t="n">
        <f aca="false">F58*100/E58</f>
        <v>3232.36973348679</v>
      </c>
    </row>
    <row r="59" customFormat="false" ht="21.75" hidden="false" customHeight="true" outlineLevel="0" collapsed="false">
      <c r="B59" s="85" t="s">
        <v>289</v>
      </c>
      <c r="C59" s="85" t="s">
        <v>45</v>
      </c>
      <c r="D59" s="86" t="n">
        <v>1037217</v>
      </c>
      <c r="E59" s="87" t="n">
        <v>20658.9</v>
      </c>
      <c r="F59" s="86" t="n">
        <v>156361</v>
      </c>
      <c r="G59" s="88" t="n">
        <f aca="false">F59/7305152</f>
        <v>0.0214042089747072</v>
      </c>
      <c r="H59" s="86" t="n">
        <f aca="false">F59*100000/D59</f>
        <v>15075.0517972613</v>
      </c>
      <c r="I59" s="86" t="n">
        <f aca="false">F59*100/E59</f>
        <v>756.869920470112</v>
      </c>
    </row>
    <row r="60" customFormat="false" ht="21.75" hidden="false" customHeight="true" outlineLevel="0" collapsed="false">
      <c r="B60" s="85" t="s">
        <v>293</v>
      </c>
      <c r="C60" s="85" t="s">
        <v>45</v>
      </c>
      <c r="D60" s="86" t="n">
        <v>1419429</v>
      </c>
      <c r="E60" s="87" t="n">
        <v>13509.4</v>
      </c>
      <c r="F60" s="86" t="n">
        <v>342550</v>
      </c>
      <c r="G60" s="88" t="n">
        <f aca="false">F60/7305152</f>
        <v>0.0468915636526112</v>
      </c>
      <c r="H60" s="86" t="n">
        <f aca="false">F60*100000/D60</f>
        <v>24132.9435991515</v>
      </c>
      <c r="I60" s="86" t="n">
        <f aca="false">F60*100/E60</f>
        <v>2535.64184937895</v>
      </c>
    </row>
    <row r="61" customFormat="false" ht="21.75" hidden="false" customHeight="true" outlineLevel="0" collapsed="false">
      <c r="B61" s="85" t="s">
        <v>295</v>
      </c>
      <c r="C61" s="85" t="s">
        <v>45</v>
      </c>
      <c r="D61" s="86" t="n">
        <v>307420</v>
      </c>
      <c r="E61" s="87" t="n">
        <v>7104.3</v>
      </c>
      <c r="F61" s="86" t="n">
        <v>96899</v>
      </c>
      <c r="G61" s="88" t="n">
        <f aca="false">F61/7305152</f>
        <v>0.0132644741683677</v>
      </c>
      <c r="H61" s="86" t="n">
        <f aca="false">F61*100000/D61</f>
        <v>31520.070262182</v>
      </c>
      <c r="I61" s="86" t="n">
        <f aca="false">F61*100/E61</f>
        <v>1363.94859451318</v>
      </c>
    </row>
    <row r="62" customFormat="false" ht="21.75" hidden="false" customHeight="true" outlineLevel="0" collapsed="false">
      <c r="B62" s="85" t="s">
        <v>298</v>
      </c>
      <c r="C62" s="85" t="s">
        <v>45</v>
      </c>
      <c r="D62" s="86" t="n">
        <v>1274841</v>
      </c>
      <c r="E62" s="87" t="n">
        <v>6784.4</v>
      </c>
      <c r="F62" s="86" t="n">
        <v>274904</v>
      </c>
      <c r="G62" s="88" t="n">
        <f aca="false">F62/7305152</f>
        <v>0.0376315236151144</v>
      </c>
      <c r="H62" s="86" t="n">
        <f aca="false">F62*100000/D62</f>
        <v>21563.7871703216</v>
      </c>
      <c r="I62" s="86" t="n">
        <f aca="false">F62*100/E62</f>
        <v>4052.00165084606</v>
      </c>
    </row>
    <row r="63" customFormat="false" ht="21.75" hidden="false" customHeight="true" outlineLevel="0" collapsed="false">
      <c r="B63" s="85" t="s">
        <v>300</v>
      </c>
      <c r="C63" s="85" t="s">
        <v>45</v>
      </c>
      <c r="D63" s="86" t="n">
        <v>6893965</v>
      </c>
      <c r="E63" s="87" t="n">
        <v>20991.7</v>
      </c>
      <c r="F63" s="86" t="n">
        <v>1129431</v>
      </c>
      <c r="G63" s="88" t="n">
        <f aca="false">F63/7305152</f>
        <v>0.154607460597671</v>
      </c>
      <c r="H63" s="86" t="n">
        <f aca="false">F63*100000/D63</f>
        <v>16382.8943140849</v>
      </c>
      <c r="I63" s="86" t="n">
        <f aca="false">F63*100/E63</f>
        <v>5380.3693840899</v>
      </c>
    </row>
  </sheetData>
  <mergeCells count="5">
    <mergeCell ref="B1:P1"/>
    <mergeCell ref="B3:P3"/>
    <mergeCell ref="B14:D14"/>
    <mergeCell ref="B38:P38"/>
    <mergeCell ref="B45:P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4" min="3" style="0" width="16"/>
    <col collapsed="false" customWidth="true" hidden="false" outlineLevel="0" max="6" min="5" style="0" width="14"/>
    <col collapsed="false" customWidth="true" hidden="false" outlineLevel="0" max="7" min="7" style="0" width="16"/>
    <col collapsed="false" customWidth="true" hidden="false" outlineLevel="0" max="8" min="8" style="0" width="12"/>
    <col collapsed="false" customWidth="true" hidden="false" outlineLevel="0" max="9" min="9" style="0" width="24"/>
    <col collapsed="false" customWidth="true" hidden="false" outlineLevel="0" max="12" min="10" style="0" width="12"/>
    <col collapsed="false" customWidth="true" hidden="false" outlineLevel="0" max="13" min="13" style="0" width="22"/>
  </cols>
  <sheetData>
    <row r="1" customFormat="false" ht="34.5" hidden="false" customHeight="true" outlineLevel="0" collapsed="false">
      <c r="B1" s="50" t="s">
        <v>337</v>
      </c>
      <c r="C1" s="50"/>
      <c r="D1" s="50"/>
      <c r="E1" s="50"/>
      <c r="F1" s="50"/>
      <c r="G1" s="50"/>
      <c r="H1" s="50"/>
      <c r="I1" s="50"/>
      <c r="J1" s="50"/>
      <c r="K1" s="50"/>
      <c r="L1" s="50"/>
      <c r="M1" s="50"/>
    </row>
    <row r="3" customFormat="false" ht="15" hidden="false" customHeight="false" outlineLevel="0" collapsed="false">
      <c r="B3" s="52" t="s">
        <v>338</v>
      </c>
      <c r="C3" s="52"/>
      <c r="D3" s="52"/>
      <c r="E3" s="52"/>
      <c r="F3" s="52"/>
      <c r="G3" s="52"/>
      <c r="H3" s="52"/>
      <c r="I3" s="52"/>
      <c r="J3" s="52"/>
      <c r="K3" s="52"/>
      <c r="L3" s="52"/>
      <c r="M3" s="52"/>
    </row>
    <row r="4" customFormat="false" ht="25.5" hidden="false" customHeight="true" outlineLevel="0" collapsed="false">
      <c r="B4" s="53" t="s">
        <v>339</v>
      </c>
      <c r="C4" s="53" t="s">
        <v>340</v>
      </c>
      <c r="D4" s="53" t="s">
        <v>341</v>
      </c>
      <c r="E4" s="53" t="s">
        <v>342</v>
      </c>
      <c r="F4" s="53" t="s">
        <v>343</v>
      </c>
      <c r="G4" s="53" t="s">
        <v>344</v>
      </c>
    </row>
    <row r="5" customFormat="false" ht="39.75" hidden="false" customHeight="true" outlineLevel="0" collapsed="false">
      <c r="B5" s="54" t="s">
        <v>334</v>
      </c>
      <c r="C5" s="54" t="s">
        <v>345</v>
      </c>
      <c r="D5" s="54" t="s">
        <v>346</v>
      </c>
      <c r="E5" s="54" t="s">
        <v>347</v>
      </c>
      <c r="F5" s="54" t="s">
        <v>348</v>
      </c>
      <c r="G5" s="54" t="s">
        <v>349</v>
      </c>
    </row>
    <row r="6" customFormat="false" ht="39.75" hidden="false" customHeight="true" outlineLevel="0" collapsed="false">
      <c r="B6" s="56" t="s">
        <v>350</v>
      </c>
      <c r="C6" s="56" t="s">
        <v>351</v>
      </c>
      <c r="D6" s="56" t="s">
        <v>352</v>
      </c>
      <c r="E6" s="56" t="s">
        <v>353</v>
      </c>
      <c r="F6" s="56" t="s">
        <v>354</v>
      </c>
      <c r="G6" s="56" t="s">
        <v>355</v>
      </c>
    </row>
    <row r="7" customFormat="false" ht="39.75" hidden="false" customHeight="true" outlineLevel="0" collapsed="false">
      <c r="B7" s="54" t="s">
        <v>356</v>
      </c>
      <c r="C7" s="54" t="s">
        <v>357</v>
      </c>
      <c r="D7" s="54" t="s">
        <v>358</v>
      </c>
      <c r="E7" s="54" t="s">
        <v>359</v>
      </c>
      <c r="F7" s="54" t="s">
        <v>132</v>
      </c>
      <c r="G7" s="54" t="s">
        <v>360</v>
      </c>
    </row>
    <row r="8" customFormat="false" ht="39.75" hidden="false" customHeight="true" outlineLevel="0" collapsed="false">
      <c r="B8" s="56" t="s">
        <v>361</v>
      </c>
      <c r="C8" s="56" t="s">
        <v>362</v>
      </c>
      <c r="D8" s="56" t="s">
        <v>363</v>
      </c>
      <c r="E8" s="56" t="s">
        <v>364</v>
      </c>
      <c r="F8" s="56" t="s">
        <v>132</v>
      </c>
      <c r="G8" s="56" t="s">
        <v>365</v>
      </c>
    </row>
    <row r="9" customFormat="false" ht="39.75" hidden="false" customHeight="true" outlineLevel="0" collapsed="false">
      <c r="B9" s="54" t="s">
        <v>366</v>
      </c>
      <c r="C9" s="54" t="s">
        <v>367</v>
      </c>
      <c r="D9" s="54" t="s">
        <v>368</v>
      </c>
      <c r="E9" s="54" t="s">
        <v>369</v>
      </c>
      <c r="F9" s="54" t="s">
        <v>132</v>
      </c>
      <c r="G9" s="54" t="s">
        <v>370</v>
      </c>
    </row>
    <row r="10" customFormat="false" ht="39.75" hidden="false" customHeight="true" outlineLevel="0" collapsed="false">
      <c r="B10" s="56" t="s">
        <v>371</v>
      </c>
      <c r="C10" s="56" t="s">
        <v>372</v>
      </c>
      <c r="D10" s="56" t="s">
        <v>373</v>
      </c>
      <c r="E10" s="56" t="s">
        <v>374</v>
      </c>
      <c r="F10" s="56" t="s">
        <v>132</v>
      </c>
      <c r="G10" s="56" t="s">
        <v>375</v>
      </c>
    </row>
    <row r="11" customFormat="false" ht="39.75" hidden="false" customHeight="true" outlineLevel="0" collapsed="false">
      <c r="B11" s="54" t="s">
        <v>376</v>
      </c>
      <c r="C11" s="54" t="s">
        <v>377</v>
      </c>
      <c r="D11" s="54" t="s">
        <v>378</v>
      </c>
      <c r="E11" s="54" t="s">
        <v>379</v>
      </c>
      <c r="F11" s="54" t="s">
        <v>138</v>
      </c>
      <c r="G11" s="54" t="s">
        <v>380</v>
      </c>
    </row>
    <row r="12" customFormat="false" ht="39.75" hidden="false" customHeight="true" outlineLevel="0" collapsed="false">
      <c r="B12" s="56" t="s">
        <v>381</v>
      </c>
      <c r="C12" s="56" t="s">
        <v>382</v>
      </c>
      <c r="D12" s="56" t="s">
        <v>383</v>
      </c>
      <c r="E12" s="56" t="s">
        <v>384</v>
      </c>
      <c r="F12" s="56" t="s">
        <v>385</v>
      </c>
      <c r="G12" s="56" t="s">
        <v>386</v>
      </c>
    </row>
    <row r="13" customFormat="false" ht="39.75" hidden="false" customHeight="true" outlineLevel="0" collapsed="false">
      <c r="B13" s="54" t="s">
        <v>387</v>
      </c>
      <c r="C13" s="54" t="s">
        <v>388</v>
      </c>
      <c r="D13" s="54" t="s">
        <v>389</v>
      </c>
      <c r="E13" s="54" t="s">
        <v>390</v>
      </c>
      <c r="F13" s="54" t="s">
        <v>142</v>
      </c>
      <c r="G13" s="54" t="s">
        <v>391</v>
      </c>
    </row>
    <row r="16" customFormat="false" ht="15" hidden="false" customHeight="false" outlineLevel="0" collapsed="false">
      <c r="B16" s="52" t="s">
        <v>392</v>
      </c>
      <c r="C16" s="52"/>
      <c r="D16" s="52"/>
      <c r="E16" s="52"/>
      <c r="F16" s="52"/>
      <c r="G16" s="52"/>
      <c r="H16" s="52"/>
      <c r="I16" s="52"/>
      <c r="J16" s="52"/>
      <c r="K16" s="52"/>
      <c r="L16" s="52"/>
      <c r="M16" s="52"/>
    </row>
    <row r="17" customFormat="false" ht="36" hidden="false" customHeight="true" outlineLevel="0" collapsed="false">
      <c r="B17" s="53" t="s">
        <v>33</v>
      </c>
      <c r="C17" s="53" t="s">
        <v>34</v>
      </c>
      <c r="D17" s="53" t="s">
        <v>393</v>
      </c>
      <c r="E17" s="53" t="s">
        <v>394</v>
      </c>
      <c r="F17" s="53" t="s">
        <v>395</v>
      </c>
      <c r="G17" s="53" t="s">
        <v>396</v>
      </c>
      <c r="H17" s="53" t="s">
        <v>397</v>
      </c>
      <c r="I17" s="53" t="s">
        <v>398</v>
      </c>
      <c r="J17" s="53" t="s">
        <v>399</v>
      </c>
      <c r="K17" s="53" t="s">
        <v>400</v>
      </c>
      <c r="L17" s="53" t="s">
        <v>401</v>
      </c>
      <c r="M17" s="53" t="s">
        <v>402</v>
      </c>
    </row>
    <row r="18" customFormat="false" ht="21.75" hidden="false" customHeight="true" outlineLevel="0" collapsed="false">
      <c r="B18" s="89" t="s">
        <v>289</v>
      </c>
      <c r="C18" s="89" t="s">
        <v>45</v>
      </c>
      <c r="D18" s="90" t="n">
        <v>0.0214042089747072</v>
      </c>
      <c r="E18" s="91" t="n">
        <v>0.7788</v>
      </c>
      <c r="F18" s="92" t="n">
        <v>104615</v>
      </c>
      <c r="G18" s="92" t="n">
        <v>81524</v>
      </c>
      <c r="H18" s="90" t="n">
        <v>0.967159185088705</v>
      </c>
      <c r="I18" s="93" t="n">
        <v>48.08</v>
      </c>
      <c r="J18" s="94" t="n">
        <v>1</v>
      </c>
      <c r="K18" s="94" t="n">
        <v>4</v>
      </c>
      <c r="L18" s="93" t="n">
        <v>91.1764705882353</v>
      </c>
      <c r="M18" s="95" t="s">
        <v>403</v>
      </c>
    </row>
    <row r="19" customFormat="false" ht="21.75" hidden="false" customHeight="true" outlineLevel="0" collapsed="false">
      <c r="B19" s="89" t="s">
        <v>293</v>
      </c>
      <c r="C19" s="89" t="s">
        <v>45</v>
      </c>
      <c r="D19" s="90" t="n">
        <v>0.0468915636526112</v>
      </c>
      <c r="E19" s="91" t="n">
        <v>0.7065</v>
      </c>
      <c r="F19" s="92" t="n">
        <v>213889</v>
      </c>
      <c r="G19" s="92" t="n">
        <v>151068</v>
      </c>
      <c r="H19" s="90" t="n">
        <v>0.478477142150148</v>
      </c>
      <c r="I19" s="93" t="n">
        <v>52.9</v>
      </c>
      <c r="J19" s="94" t="n">
        <v>4</v>
      </c>
      <c r="K19" s="94" t="n">
        <v>2</v>
      </c>
      <c r="L19" s="93" t="n">
        <v>88.2352941176471</v>
      </c>
      <c r="M19" s="95" t="s">
        <v>403</v>
      </c>
    </row>
    <row r="20" customFormat="false" ht="21.75" hidden="false" customHeight="true" outlineLevel="0" collapsed="false">
      <c r="B20" s="89" t="s">
        <v>295</v>
      </c>
      <c r="C20" s="89" t="s">
        <v>45</v>
      </c>
      <c r="D20" s="90" t="n">
        <v>0.0132644741683678</v>
      </c>
      <c r="E20" s="91" t="n">
        <v>0.7702</v>
      </c>
      <c r="F20" s="92" t="n">
        <v>81270</v>
      </c>
      <c r="G20" s="92" t="n">
        <v>62556</v>
      </c>
      <c r="H20" s="90" t="n">
        <v>0.725931441415921</v>
      </c>
      <c r="I20" s="93" t="n">
        <v>48.6533333333333</v>
      </c>
      <c r="J20" s="94" t="n">
        <v>3</v>
      </c>
      <c r="K20" s="94" t="n">
        <v>3</v>
      </c>
      <c r="L20" s="93" t="n">
        <v>88.2352941176471</v>
      </c>
      <c r="M20" s="95" t="s">
        <v>403</v>
      </c>
    </row>
    <row r="21" customFormat="false" ht="21.75" hidden="false" customHeight="true" outlineLevel="0" collapsed="false">
      <c r="B21" s="89" t="s">
        <v>298</v>
      </c>
      <c r="C21" s="89" t="s">
        <v>45</v>
      </c>
      <c r="D21" s="90" t="n">
        <v>0.0376315236151144</v>
      </c>
      <c r="E21" s="91" t="n">
        <v>0.636</v>
      </c>
      <c r="F21" s="92" t="n">
        <v>170309</v>
      </c>
      <c r="G21" s="92" t="n">
        <v>108354</v>
      </c>
      <c r="H21" s="90" t="n">
        <v>0.314957439119969</v>
      </c>
      <c r="I21" s="93" t="n">
        <v>57.6</v>
      </c>
      <c r="J21" s="94" t="n">
        <v>7</v>
      </c>
      <c r="K21" s="94" t="n">
        <v>1</v>
      </c>
      <c r="L21" s="93" t="n">
        <v>82.3529411764706</v>
      </c>
      <c r="M21" s="95" t="s">
        <v>403</v>
      </c>
    </row>
    <row r="22" customFormat="false" ht="21.75" hidden="false" customHeight="true" outlineLevel="0" collapsed="false">
      <c r="B22" s="96" t="s">
        <v>287</v>
      </c>
      <c r="C22" s="96" t="s">
        <v>61</v>
      </c>
      <c r="D22" s="97" t="n">
        <v>0.0196075317803107</v>
      </c>
      <c r="E22" s="98" t="n">
        <v>0.9022</v>
      </c>
      <c r="F22" s="99" t="n">
        <v>107918</v>
      </c>
      <c r="G22" s="99" t="n">
        <v>97383</v>
      </c>
      <c r="H22" s="97" t="n">
        <v>0.373529840332925</v>
      </c>
      <c r="I22" s="100" t="n">
        <v>39.8533333333333</v>
      </c>
      <c r="J22" s="101" t="n">
        <v>5</v>
      </c>
      <c r="K22" s="101" t="n">
        <v>6</v>
      </c>
      <c r="L22" s="100" t="n">
        <v>73.5294117647059</v>
      </c>
      <c r="M22" s="95" t="s">
        <v>403</v>
      </c>
    </row>
    <row r="23" customFormat="false" ht="21.75" hidden="false" customHeight="true" outlineLevel="0" collapsed="false">
      <c r="B23" s="89" t="s">
        <v>300</v>
      </c>
      <c r="C23" s="89" t="s">
        <v>45</v>
      </c>
      <c r="D23" s="90" t="n">
        <v>0.154607460597671</v>
      </c>
      <c r="E23" s="91" t="n">
        <v>0.873</v>
      </c>
      <c r="F23" s="92" t="n">
        <v>969195</v>
      </c>
      <c r="G23" s="92" t="n">
        <v>846173</v>
      </c>
      <c r="H23" s="90" t="n">
        <v>0.344785667697272</v>
      </c>
      <c r="I23" s="93" t="n">
        <v>41.8</v>
      </c>
      <c r="J23" s="94" t="n">
        <v>6</v>
      </c>
      <c r="K23" s="94" t="n">
        <v>5</v>
      </c>
      <c r="L23" s="93" t="n">
        <v>73.5294117647059</v>
      </c>
      <c r="M23" s="95" t="s">
        <v>403</v>
      </c>
    </row>
    <row r="24" customFormat="false" ht="21.75" hidden="false" customHeight="true" outlineLevel="0" collapsed="false">
      <c r="B24" s="96" t="s">
        <v>285</v>
      </c>
      <c r="C24" s="96" t="s">
        <v>61</v>
      </c>
      <c r="D24" s="97" t="n">
        <v>0.0255254100120025</v>
      </c>
      <c r="E24" s="98" t="n">
        <v>1.0325</v>
      </c>
      <c r="F24" s="99" t="n">
        <v>117872</v>
      </c>
      <c r="G24" s="99" t="n">
        <v>121693</v>
      </c>
      <c r="H24" s="97" t="n">
        <v>0.750393895439774</v>
      </c>
      <c r="I24" s="100" t="n">
        <v>31.1666666666667</v>
      </c>
      <c r="J24" s="101" t="n">
        <v>2</v>
      </c>
      <c r="K24" s="101" t="n">
        <v>11</v>
      </c>
      <c r="L24" s="100" t="n">
        <v>67.6470588235294</v>
      </c>
      <c r="M24" s="95" t="s">
        <v>403</v>
      </c>
    </row>
    <row r="25" customFormat="false" ht="21.75" hidden="false" customHeight="true" outlineLevel="0" collapsed="false">
      <c r="B25" s="96" t="s">
        <v>277</v>
      </c>
      <c r="C25" s="96" t="s">
        <v>61</v>
      </c>
      <c r="D25" s="97" t="n">
        <v>0.00785486735936501</v>
      </c>
      <c r="E25" s="98" t="n">
        <v>0.9914</v>
      </c>
      <c r="F25" s="99" t="n">
        <v>34450</v>
      </c>
      <c r="G25" s="99" t="n">
        <v>34147</v>
      </c>
      <c r="H25" s="97" t="n">
        <v>0.21451730627881</v>
      </c>
      <c r="I25" s="100" t="n">
        <v>33.9066666666667</v>
      </c>
      <c r="J25" s="101" t="n">
        <v>9</v>
      </c>
      <c r="K25" s="101" t="n">
        <v>7</v>
      </c>
      <c r="L25" s="100" t="n">
        <v>58.8235294117647</v>
      </c>
      <c r="M25" s="96" t="s">
        <v>404</v>
      </c>
    </row>
    <row r="26" customFormat="false" ht="21.75" hidden="false" customHeight="true" outlineLevel="0" collapsed="false">
      <c r="B26" s="96" t="s">
        <v>273</v>
      </c>
      <c r="C26" s="96" t="s">
        <v>61</v>
      </c>
      <c r="D26" s="97" t="n">
        <v>0.0425529817860053</v>
      </c>
      <c r="E26" s="98" t="n">
        <v>1.0084</v>
      </c>
      <c r="F26" s="99" t="n">
        <v>192307</v>
      </c>
      <c r="G26" s="99" t="n">
        <v>193916</v>
      </c>
      <c r="H26" s="97" t="n">
        <v>0.21380097478752</v>
      </c>
      <c r="I26" s="100" t="n">
        <v>32.7733333333333</v>
      </c>
      <c r="J26" s="101" t="n">
        <v>10</v>
      </c>
      <c r="K26" s="101" t="n">
        <v>8</v>
      </c>
      <c r="L26" s="100" t="n">
        <v>52.9411764705882</v>
      </c>
      <c r="M26" s="96" t="s">
        <v>404</v>
      </c>
    </row>
    <row r="27" customFormat="false" ht="21.75" hidden="false" customHeight="true" outlineLevel="0" collapsed="false">
      <c r="B27" s="96" t="s">
        <v>281</v>
      </c>
      <c r="C27" s="96" t="s">
        <v>61</v>
      </c>
      <c r="D27" s="97" t="n">
        <v>0.0239877281129811</v>
      </c>
      <c r="E27" s="98" t="n">
        <v>1.3446</v>
      </c>
      <c r="F27" s="99" t="n">
        <v>137367</v>
      </c>
      <c r="G27" s="99" t="n">
        <v>184681</v>
      </c>
      <c r="H27" s="97" t="n">
        <v>0.256419286548694</v>
      </c>
      <c r="I27" s="100" t="n">
        <v>10.36</v>
      </c>
      <c r="J27" s="101" t="n">
        <v>8</v>
      </c>
      <c r="K27" s="101" t="n">
        <v>15</v>
      </c>
      <c r="L27" s="100" t="n">
        <v>38.2352941176471</v>
      </c>
      <c r="M27" s="102" t="s">
        <v>405</v>
      </c>
    </row>
    <row r="28" customFormat="false" ht="21.75" hidden="false" customHeight="true" outlineLevel="0" collapsed="false">
      <c r="B28" s="96" t="s">
        <v>279</v>
      </c>
      <c r="C28" s="96" t="s">
        <v>61</v>
      </c>
      <c r="D28" s="97" t="n">
        <v>0.0477397321780574</v>
      </c>
      <c r="E28" s="98" t="n">
        <v>1.0163</v>
      </c>
      <c r="F28" s="99" t="n">
        <v>284438</v>
      </c>
      <c r="G28" s="99" t="n">
        <v>289059</v>
      </c>
      <c r="H28" s="97" t="n">
        <v>0.10879575174168</v>
      </c>
      <c r="I28" s="100" t="n">
        <v>32.2466666666667</v>
      </c>
      <c r="J28" s="101" t="n">
        <v>14</v>
      </c>
      <c r="K28" s="101" t="n">
        <v>9</v>
      </c>
      <c r="L28" s="100" t="n">
        <v>38.2352941176471</v>
      </c>
      <c r="M28" s="102" t="s">
        <v>405</v>
      </c>
    </row>
    <row r="29" customFormat="false" ht="21.75" hidden="false" customHeight="true" outlineLevel="0" collapsed="false">
      <c r="B29" s="103" t="s">
        <v>266</v>
      </c>
      <c r="C29" s="103" t="s">
        <v>40</v>
      </c>
      <c r="D29" s="104" t="n">
        <v>0.197496917244159</v>
      </c>
      <c r="E29" s="105" t="n">
        <v>1.2457</v>
      </c>
      <c r="F29" s="106" t="n">
        <v>1188827</v>
      </c>
      <c r="G29" s="106" t="n">
        <v>1481038</v>
      </c>
      <c r="H29" s="104" t="n">
        <v>0.202432680084452</v>
      </c>
      <c r="I29" s="107" t="n">
        <v>16.9533333333333</v>
      </c>
      <c r="J29" s="108" t="n">
        <v>11</v>
      </c>
      <c r="K29" s="108" t="n">
        <v>14</v>
      </c>
      <c r="L29" s="107" t="n">
        <v>32.3529411764706</v>
      </c>
      <c r="M29" s="109" t="s">
        <v>405</v>
      </c>
    </row>
    <row r="30" customFormat="false" ht="21.75" hidden="false" customHeight="true" outlineLevel="0" collapsed="false">
      <c r="B30" s="103" t="s">
        <v>271</v>
      </c>
      <c r="C30" s="103" t="s">
        <v>40</v>
      </c>
      <c r="D30" s="104" t="n">
        <v>0.08647664004801</v>
      </c>
      <c r="E30" s="105" t="n">
        <v>1.2159</v>
      </c>
      <c r="F30" s="106" t="n">
        <v>586885</v>
      </c>
      <c r="G30" s="106" t="n">
        <v>713743</v>
      </c>
      <c r="H30" s="104" t="n">
        <v>0.114517213021629</v>
      </c>
      <c r="I30" s="107" t="n">
        <v>18.94</v>
      </c>
      <c r="J30" s="108" t="n">
        <v>13</v>
      </c>
      <c r="K30" s="108" t="n">
        <v>12</v>
      </c>
      <c r="L30" s="107" t="n">
        <v>32.3529411764706</v>
      </c>
      <c r="M30" s="109" t="s">
        <v>405</v>
      </c>
    </row>
    <row r="31" customFormat="false" ht="21.75" hidden="false" customHeight="true" outlineLevel="0" collapsed="false">
      <c r="B31" s="96" t="s">
        <v>283</v>
      </c>
      <c r="C31" s="96" t="s">
        <v>61</v>
      </c>
      <c r="D31" s="97" t="n">
        <v>0.0133932873676003</v>
      </c>
      <c r="E31" s="98" t="n">
        <v>1.0176</v>
      </c>
      <c r="F31" s="99" t="n">
        <v>73956</v>
      </c>
      <c r="G31" s="99" t="n">
        <v>75259</v>
      </c>
      <c r="H31" s="97" t="n">
        <v>0.107103983082948</v>
      </c>
      <c r="I31" s="100" t="n">
        <v>32.16</v>
      </c>
      <c r="J31" s="101" t="n">
        <v>15</v>
      </c>
      <c r="K31" s="101" t="n">
        <v>10</v>
      </c>
      <c r="L31" s="100" t="n">
        <v>32.3529411764706</v>
      </c>
      <c r="M31" s="102" t="s">
        <v>405</v>
      </c>
    </row>
    <row r="32" customFormat="false" ht="21.75" hidden="false" customHeight="true" outlineLevel="0" collapsed="false">
      <c r="B32" s="103" t="s">
        <v>269</v>
      </c>
      <c r="C32" s="103" t="s">
        <v>40</v>
      </c>
      <c r="D32" s="104" t="n">
        <v>0.0869412436592695</v>
      </c>
      <c r="E32" s="105" t="n">
        <v>1.3664</v>
      </c>
      <c r="F32" s="106" t="n">
        <v>542782</v>
      </c>
      <c r="G32" s="106" t="n">
        <v>741362</v>
      </c>
      <c r="H32" s="104" t="n">
        <v>0.164670494421651</v>
      </c>
      <c r="I32" s="107" t="n">
        <v>8.90666666666666</v>
      </c>
      <c r="J32" s="108" t="n">
        <v>12</v>
      </c>
      <c r="K32" s="108" t="n">
        <v>16</v>
      </c>
      <c r="L32" s="107" t="n">
        <v>23.5294117647059</v>
      </c>
      <c r="M32" s="109" t="s">
        <v>405</v>
      </c>
    </row>
    <row r="33" customFormat="false" ht="21.75" hidden="false" customHeight="true" outlineLevel="0" collapsed="false">
      <c r="B33" s="103" t="s">
        <v>261</v>
      </c>
      <c r="C33" s="103" t="s">
        <v>40</v>
      </c>
      <c r="D33" s="104" t="n">
        <v>0.0800389916595849</v>
      </c>
      <c r="E33" s="105" t="n">
        <v>1.2412</v>
      </c>
      <c r="F33" s="106" t="n">
        <v>536403</v>
      </c>
      <c r="G33" s="106" t="n">
        <v>666027</v>
      </c>
      <c r="H33" s="104" t="n">
        <v>0.086553104882946</v>
      </c>
      <c r="I33" s="107" t="n">
        <v>17.2533333333333</v>
      </c>
      <c r="J33" s="108" t="n">
        <v>17</v>
      </c>
      <c r="K33" s="108" t="n">
        <v>13</v>
      </c>
      <c r="L33" s="107" t="n">
        <v>17.6470588235294</v>
      </c>
      <c r="M33" s="109" t="s">
        <v>405</v>
      </c>
    </row>
    <row r="34" customFormat="false" ht="21.75" hidden="false" customHeight="true" outlineLevel="0" collapsed="false">
      <c r="B34" s="96" t="s">
        <v>275</v>
      </c>
      <c r="C34" s="96" t="s">
        <v>61</v>
      </c>
      <c r="D34" s="97" t="n">
        <v>0.00587886466975636</v>
      </c>
      <c r="E34" s="98" t="n">
        <v>1.7316</v>
      </c>
      <c r="F34" s="99" t="n">
        <v>30363</v>
      </c>
      <c r="G34" s="99" t="n">
        <v>52588</v>
      </c>
      <c r="H34" s="97" t="n">
        <v>0.104406443305282</v>
      </c>
      <c r="I34" s="100" t="n">
        <v>0</v>
      </c>
      <c r="J34" s="101" t="n">
        <v>16</v>
      </c>
      <c r="K34" s="101" t="n">
        <v>17</v>
      </c>
      <c r="L34" s="100" t="n">
        <v>8.82352941176471</v>
      </c>
      <c r="M34" s="102" t="s">
        <v>405</v>
      </c>
    </row>
    <row r="36" customFormat="false" ht="15" hidden="false" customHeight="false" outlineLevel="0" collapsed="false">
      <c r="B36" s="52" t="s">
        <v>406</v>
      </c>
      <c r="C36" s="52"/>
      <c r="D36" s="52"/>
      <c r="E36" s="52"/>
      <c r="F36" s="52"/>
      <c r="G36" s="52"/>
      <c r="H36" s="52"/>
      <c r="I36" s="52"/>
      <c r="J36" s="52"/>
      <c r="K36" s="52"/>
      <c r="L36" s="52"/>
      <c r="M36" s="52"/>
    </row>
    <row r="37" customFormat="false" ht="15" hidden="false" customHeight="false" outlineLevel="0" collapsed="false">
      <c r="B37" s="53" t="s">
        <v>304</v>
      </c>
      <c r="C37" s="53" t="s">
        <v>407</v>
      </c>
      <c r="D37" s="53" t="s">
        <v>408</v>
      </c>
      <c r="E37" s="53" t="s">
        <v>409</v>
      </c>
      <c r="F37" s="53" t="s">
        <v>332</v>
      </c>
    </row>
    <row r="38" customFormat="false" ht="18" hidden="false" customHeight="true" outlineLevel="0" collapsed="false">
      <c r="B38" s="110" t="s">
        <v>311</v>
      </c>
      <c r="C38" s="111" t="n">
        <v>1.07</v>
      </c>
      <c r="D38" s="112" t="n">
        <v>0.91</v>
      </c>
      <c r="E38" s="113" t="n">
        <v>0.76</v>
      </c>
      <c r="F38" s="111" t="n">
        <v>1.01</v>
      </c>
    </row>
    <row r="39" customFormat="false" ht="18" hidden="false" customHeight="true" outlineLevel="0" collapsed="false">
      <c r="B39" s="110" t="s">
        <v>313</v>
      </c>
      <c r="C39" s="111" t="n">
        <v>1.06</v>
      </c>
      <c r="D39" s="112" t="n">
        <v>0.89</v>
      </c>
      <c r="E39" s="113" t="n">
        <v>0.76</v>
      </c>
      <c r="F39" s="112" t="n">
        <v>0.98</v>
      </c>
    </row>
    <row r="40" customFormat="false" ht="18" hidden="false" customHeight="true" outlineLevel="0" collapsed="false">
      <c r="B40" s="110" t="s">
        <v>314</v>
      </c>
      <c r="C40" s="111" t="n">
        <v>1.06</v>
      </c>
      <c r="D40" s="112" t="n">
        <v>0.91</v>
      </c>
      <c r="E40" s="113" t="n">
        <v>0.82</v>
      </c>
      <c r="F40" s="111" t="n">
        <v>1.01</v>
      </c>
    </row>
    <row r="41" customFormat="false" ht="18" hidden="false" customHeight="true" outlineLevel="0" collapsed="false">
      <c r="B41" s="110" t="s">
        <v>315</v>
      </c>
      <c r="C41" s="111" t="n">
        <v>1.11</v>
      </c>
      <c r="D41" s="112" t="n">
        <v>0.9</v>
      </c>
      <c r="E41" s="113" t="n">
        <v>0.83</v>
      </c>
      <c r="F41" s="111" t="n">
        <v>1.04</v>
      </c>
    </row>
    <row r="42" customFormat="false" ht="18" hidden="false" customHeight="true" outlineLevel="0" collapsed="false">
      <c r="B42" s="110" t="s">
        <v>316</v>
      </c>
      <c r="C42" s="111" t="n">
        <v>1.13</v>
      </c>
      <c r="D42" s="112" t="n">
        <v>0.92</v>
      </c>
      <c r="E42" s="113" t="n">
        <v>0.81</v>
      </c>
      <c r="F42" s="111" t="n">
        <v>1.05</v>
      </c>
    </row>
    <row r="43" customFormat="false" ht="18" hidden="false" customHeight="true" outlineLevel="0" collapsed="false">
      <c r="B43" s="110" t="s">
        <v>317</v>
      </c>
      <c r="C43" s="114" t="n">
        <v>1.24</v>
      </c>
      <c r="D43" s="112" t="n">
        <v>0.95</v>
      </c>
      <c r="E43" s="113" t="n">
        <v>0.83</v>
      </c>
      <c r="F43" s="111" t="n">
        <v>1.09</v>
      </c>
    </row>
    <row r="44" customFormat="false" ht="18" hidden="false" customHeight="true" outlineLevel="0" collapsed="false">
      <c r="B44" s="110" t="s">
        <v>318</v>
      </c>
      <c r="C44" s="114" t="n">
        <v>1.29</v>
      </c>
      <c r="D44" s="111" t="n">
        <v>1.01</v>
      </c>
      <c r="E44" s="112" t="n">
        <v>0.87</v>
      </c>
      <c r="F44" s="111" t="n">
        <v>1.12</v>
      </c>
    </row>
    <row r="45" customFormat="false" ht="18" hidden="false" customHeight="true" outlineLevel="0" collapsed="false">
      <c r="B45" s="110" t="s">
        <v>319</v>
      </c>
      <c r="C45" s="114" t="n">
        <v>1.35</v>
      </c>
      <c r="D45" s="111" t="n">
        <v>1.03</v>
      </c>
      <c r="E45" s="112" t="n">
        <v>0.92</v>
      </c>
      <c r="F45" s="111" t="n">
        <v>1.18</v>
      </c>
    </row>
    <row r="46" customFormat="false" ht="18" hidden="false" customHeight="true" outlineLevel="0" collapsed="false">
      <c r="B46" s="110" t="s">
        <v>320</v>
      </c>
      <c r="C46" s="114" t="n">
        <v>1.26</v>
      </c>
      <c r="D46" s="111" t="n">
        <v>1.05</v>
      </c>
      <c r="E46" s="113" t="n">
        <v>0.81</v>
      </c>
      <c r="F46" s="111" t="n">
        <v>1.09</v>
      </c>
    </row>
  </sheetData>
  <mergeCells count="4">
    <mergeCell ref="B1:M1"/>
    <mergeCell ref="B3:M3"/>
    <mergeCell ref="B16:M16"/>
    <mergeCell ref="B36:M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P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0"/>
    <col collapsed="false" customWidth="true" hidden="false" outlineLevel="0" max="4" min="4" style="0" width="12"/>
    <col collapsed="false" customWidth="true" hidden="false" outlineLevel="0" max="5" min="5" style="0" width="20"/>
    <col collapsed="false" customWidth="true" hidden="false" outlineLevel="0" max="6" min="6" style="0" width="14"/>
    <col collapsed="false" customWidth="true" hidden="false" outlineLevel="0" max="7" min="7" style="0" width="18"/>
  </cols>
  <sheetData>
    <row r="1" customFormat="false" ht="34.5" hidden="false" customHeight="true" outlineLevel="0" collapsed="false">
      <c r="B1" s="50" t="s">
        <v>410</v>
      </c>
      <c r="C1" s="50"/>
      <c r="D1" s="50"/>
      <c r="E1" s="50"/>
      <c r="F1" s="50"/>
      <c r="G1" s="50"/>
      <c r="H1" s="50"/>
      <c r="I1" s="50"/>
      <c r="J1" s="50"/>
      <c r="K1" s="50"/>
      <c r="L1" s="50"/>
      <c r="M1" s="50"/>
      <c r="N1" s="50"/>
      <c r="O1" s="50"/>
      <c r="P1" s="50"/>
    </row>
    <row r="3" customFormat="false" ht="15" hidden="false" customHeight="false" outlineLevel="0" collapsed="false">
      <c r="B3" s="52" t="s">
        <v>411</v>
      </c>
      <c r="C3" s="52"/>
      <c r="D3" s="52"/>
      <c r="E3" s="52"/>
      <c r="F3" s="52"/>
      <c r="G3" s="52"/>
      <c r="H3" s="52"/>
      <c r="I3" s="52"/>
      <c r="J3" s="52"/>
      <c r="K3" s="52"/>
      <c r="L3" s="52"/>
      <c r="M3" s="52"/>
      <c r="N3" s="52"/>
      <c r="O3" s="52"/>
      <c r="P3" s="52"/>
    </row>
    <row r="4" customFormat="false" ht="15" hidden="false" customHeight="false" outlineLevel="0" collapsed="false">
      <c r="B4" s="53" t="s">
        <v>304</v>
      </c>
      <c r="C4" s="53" t="s">
        <v>412</v>
      </c>
      <c r="D4" s="53" t="s">
        <v>413</v>
      </c>
      <c r="E4" s="53" t="s">
        <v>414</v>
      </c>
      <c r="F4" s="53" t="s">
        <v>415</v>
      </c>
    </row>
    <row r="5" customFormat="false" ht="15" hidden="false" customHeight="false" outlineLevel="0" collapsed="false">
      <c r="B5" s="26" t="s">
        <v>311</v>
      </c>
      <c r="C5" s="115" t="n">
        <v>10841</v>
      </c>
      <c r="D5" s="115" t="n">
        <v>4482</v>
      </c>
      <c r="E5" s="115" t="n">
        <v>2172</v>
      </c>
      <c r="F5" s="115" t="n">
        <v>17495</v>
      </c>
    </row>
    <row r="6" customFormat="false" ht="15" hidden="false" customHeight="false" outlineLevel="0" collapsed="false">
      <c r="B6" s="28" t="s">
        <v>313</v>
      </c>
      <c r="C6" s="116" t="n">
        <v>12882</v>
      </c>
      <c r="D6" s="116" t="n">
        <v>4386</v>
      </c>
      <c r="E6" s="116" t="n">
        <v>2570</v>
      </c>
      <c r="F6" s="116" t="n">
        <v>19838</v>
      </c>
    </row>
    <row r="7" customFormat="false" ht="15" hidden="false" customHeight="false" outlineLevel="0" collapsed="false">
      <c r="B7" s="26" t="s">
        <v>314</v>
      </c>
      <c r="C7" s="115" t="n">
        <v>15591</v>
      </c>
      <c r="D7" s="115" t="n">
        <v>4911</v>
      </c>
      <c r="E7" s="115" t="n">
        <v>3946</v>
      </c>
      <c r="F7" s="115" t="n">
        <v>24448</v>
      </c>
    </row>
    <row r="8" customFormat="false" ht="15" hidden="false" customHeight="false" outlineLevel="0" collapsed="false">
      <c r="B8" s="28" t="s">
        <v>315</v>
      </c>
      <c r="C8" s="116" t="n">
        <v>19227</v>
      </c>
      <c r="D8" s="116" t="n">
        <v>5632</v>
      </c>
      <c r="E8" s="116" t="n">
        <v>5532</v>
      </c>
      <c r="F8" s="116" t="n">
        <v>30392</v>
      </c>
    </row>
    <row r="9" customFormat="false" ht="15" hidden="false" customHeight="false" outlineLevel="0" collapsed="false">
      <c r="B9" s="26" t="s">
        <v>316</v>
      </c>
      <c r="C9" s="115" t="n">
        <v>21509</v>
      </c>
      <c r="D9" s="115" t="n">
        <v>7689</v>
      </c>
      <c r="E9" s="115" t="n">
        <v>7830</v>
      </c>
      <c r="F9" s="115" t="n">
        <v>37029</v>
      </c>
    </row>
    <row r="10" customFormat="false" ht="15" hidden="false" customHeight="false" outlineLevel="0" collapsed="false">
      <c r="B10" s="28" t="s">
        <v>317</v>
      </c>
      <c r="C10" s="116" t="n">
        <v>23536</v>
      </c>
      <c r="D10" s="116" t="n">
        <v>10655</v>
      </c>
      <c r="E10" s="116" t="n">
        <v>10681</v>
      </c>
      <c r="F10" s="116" t="n">
        <v>44873</v>
      </c>
    </row>
    <row r="11" customFormat="false" ht="15" hidden="false" customHeight="false" outlineLevel="0" collapsed="false">
      <c r="B11" s="26" t="s">
        <v>318</v>
      </c>
      <c r="C11" s="115" t="n">
        <v>24632</v>
      </c>
      <c r="D11" s="115" t="n">
        <v>12391</v>
      </c>
      <c r="E11" s="115" t="n">
        <v>13736</v>
      </c>
      <c r="F11" s="115" t="n">
        <v>50758</v>
      </c>
    </row>
    <row r="12" customFormat="false" ht="15" hidden="false" customHeight="false" outlineLevel="0" collapsed="false">
      <c r="B12" s="28" t="s">
        <v>319</v>
      </c>
      <c r="C12" s="116" t="n">
        <v>27228</v>
      </c>
      <c r="D12" s="116" t="n">
        <v>15875</v>
      </c>
      <c r="E12" s="116" t="n">
        <v>15135</v>
      </c>
      <c r="F12" s="116" t="n">
        <v>58238</v>
      </c>
    </row>
    <row r="13" customFormat="false" ht="15" hidden="false" customHeight="false" outlineLevel="0" collapsed="false">
      <c r="B13" s="26" t="s">
        <v>320</v>
      </c>
      <c r="C13" s="115" t="n">
        <v>32943</v>
      </c>
      <c r="D13" s="115" t="n">
        <v>20107</v>
      </c>
      <c r="E13" s="115" t="n">
        <v>20001</v>
      </c>
      <c r="F13" s="115" t="n">
        <v>73052</v>
      </c>
    </row>
    <row r="16" customFormat="false" ht="15" hidden="false" customHeight="false" outlineLevel="0" collapsed="false">
      <c r="B16" s="52" t="s">
        <v>416</v>
      </c>
      <c r="C16" s="52"/>
      <c r="D16" s="52"/>
      <c r="E16" s="52"/>
      <c r="F16" s="52"/>
      <c r="G16" s="52"/>
      <c r="H16" s="52"/>
      <c r="I16" s="52"/>
      <c r="J16" s="52"/>
      <c r="K16" s="52"/>
      <c r="L16" s="52"/>
      <c r="M16" s="52"/>
      <c r="N16" s="52"/>
      <c r="O16" s="52"/>
      <c r="P16" s="52"/>
    </row>
    <row r="17" customFormat="false" ht="23.85" hidden="false" customHeight="false" outlineLevel="0" collapsed="false">
      <c r="B17" s="53" t="s">
        <v>417</v>
      </c>
      <c r="C17" s="53" t="s">
        <v>418</v>
      </c>
      <c r="D17" s="53" t="s">
        <v>419</v>
      </c>
      <c r="E17" s="53" t="s">
        <v>420</v>
      </c>
      <c r="F17" s="53" t="s">
        <v>421</v>
      </c>
      <c r="G17" s="53" t="s">
        <v>306</v>
      </c>
    </row>
    <row r="18" customFormat="false" ht="15" hidden="false" customHeight="false" outlineLevel="0" collapsed="false">
      <c r="B18" s="26" t="n">
        <v>1</v>
      </c>
      <c r="C18" s="26" t="s">
        <v>422</v>
      </c>
      <c r="D18" s="115" t="n">
        <v>2330107</v>
      </c>
      <c r="E18" s="115" t="n">
        <v>23301</v>
      </c>
      <c r="F18" s="117" t="n">
        <f aca="false">D18/7305152</f>
        <v>0.318967627230754</v>
      </c>
      <c r="G18" s="115" t="n">
        <v>162923</v>
      </c>
    </row>
    <row r="19" customFormat="false" ht="15" hidden="false" customHeight="false" outlineLevel="0" collapsed="false">
      <c r="B19" s="28" t="n">
        <v>2</v>
      </c>
      <c r="C19" s="28" t="s">
        <v>423</v>
      </c>
      <c r="D19" s="116" t="n">
        <v>778541</v>
      </c>
      <c r="E19" s="116" t="n">
        <v>7785</v>
      </c>
      <c r="F19" s="118" t="n">
        <f aca="false">D19/7305152</f>
        <v>0.106574236922106</v>
      </c>
      <c r="G19" s="116" t="n">
        <v>34169</v>
      </c>
    </row>
    <row r="20" customFormat="false" ht="15" hidden="false" customHeight="false" outlineLevel="0" collapsed="false">
      <c r="B20" s="26" t="n">
        <v>3</v>
      </c>
      <c r="C20" s="26" t="s">
        <v>424</v>
      </c>
      <c r="D20" s="115" t="n">
        <v>685057</v>
      </c>
      <c r="E20" s="115" t="n">
        <v>6851</v>
      </c>
      <c r="F20" s="117" t="n">
        <f aca="false">D20/7305152</f>
        <v>0.0937772410485093</v>
      </c>
      <c r="G20" s="115" t="n">
        <v>60920</v>
      </c>
    </row>
    <row r="21" customFormat="false" ht="15" hidden="false" customHeight="false" outlineLevel="0" collapsed="false">
      <c r="B21" s="28" t="n">
        <v>4</v>
      </c>
      <c r="C21" s="28" t="s">
        <v>425</v>
      </c>
      <c r="D21" s="116" t="n">
        <v>523332</v>
      </c>
      <c r="E21" s="116" t="n">
        <v>5233</v>
      </c>
      <c r="F21" s="118" t="n">
        <f aca="false">D21/7305152</f>
        <v>0.0716387557712694</v>
      </c>
      <c r="G21" s="116" t="n">
        <v>45451</v>
      </c>
    </row>
    <row r="22" customFormat="false" ht="15" hidden="false" customHeight="false" outlineLevel="0" collapsed="false">
      <c r="B22" s="26" t="n">
        <v>5</v>
      </c>
      <c r="C22" s="26" t="s">
        <v>426</v>
      </c>
      <c r="D22" s="115" t="n">
        <v>489023</v>
      </c>
      <c r="E22" s="115" t="n">
        <v>4890</v>
      </c>
      <c r="F22" s="117" t="n">
        <f aca="false">D22/7305152</f>
        <v>0.0669422073626942</v>
      </c>
      <c r="G22" s="115" t="n">
        <v>18304</v>
      </c>
    </row>
    <row r="23" customFormat="false" ht="15" hidden="false" customHeight="false" outlineLevel="0" collapsed="false">
      <c r="B23" s="28" t="n">
        <v>6</v>
      </c>
      <c r="C23" s="28" t="s">
        <v>427</v>
      </c>
      <c r="D23" s="116" t="n">
        <v>368305</v>
      </c>
      <c r="E23" s="116" t="n">
        <v>3683</v>
      </c>
      <c r="F23" s="118" t="n">
        <f aca="false">D23/7305152</f>
        <v>0.0504171576443584</v>
      </c>
      <c r="G23" s="116" t="n">
        <v>8944</v>
      </c>
    </row>
    <row r="24" customFormat="false" ht="15" hidden="false" customHeight="false" outlineLevel="0" collapsed="false">
      <c r="B24" s="26" t="n">
        <v>7</v>
      </c>
      <c r="C24" s="26" t="s">
        <v>428</v>
      </c>
      <c r="D24" s="115" t="n">
        <v>353301</v>
      </c>
      <c r="E24" s="115" t="n">
        <v>3533</v>
      </c>
      <c r="F24" s="117" t="n">
        <f aca="false">D24/7305152</f>
        <v>0.0483632647205698</v>
      </c>
      <c r="G24" s="115" t="n">
        <v>32254</v>
      </c>
    </row>
    <row r="25" customFormat="false" ht="15" hidden="false" customHeight="false" outlineLevel="0" collapsed="false">
      <c r="B25" s="28" t="n">
        <v>8</v>
      </c>
      <c r="C25" s="28" t="s">
        <v>429</v>
      </c>
      <c r="D25" s="116" t="n">
        <v>334766</v>
      </c>
      <c r="E25" s="116" t="n">
        <v>3348</v>
      </c>
      <c r="F25" s="118" t="n">
        <f aca="false">D25/7305152</f>
        <v>0.0458260142978545</v>
      </c>
      <c r="G25" s="116" t="n">
        <v>9306</v>
      </c>
    </row>
    <row r="26" customFormat="false" ht="15" hidden="false" customHeight="false" outlineLevel="0" collapsed="false">
      <c r="B26" s="26" t="n">
        <v>9</v>
      </c>
      <c r="C26" s="26" t="s">
        <v>430</v>
      </c>
      <c r="D26" s="115" t="n">
        <v>318032</v>
      </c>
      <c r="E26" s="115" t="n">
        <v>3180</v>
      </c>
      <c r="F26" s="117" t="n">
        <f aca="false">D26/7305152</f>
        <v>0.043535302208633</v>
      </c>
      <c r="G26" s="115" t="n">
        <v>9753</v>
      </c>
    </row>
    <row r="27" customFormat="false" ht="15" hidden="false" customHeight="false" outlineLevel="0" collapsed="false">
      <c r="B27" s="28" t="n">
        <v>10</v>
      </c>
      <c r="C27" s="28" t="s">
        <v>431</v>
      </c>
      <c r="D27" s="116" t="n">
        <v>236529</v>
      </c>
      <c r="E27" s="116" t="n">
        <v>2365</v>
      </c>
      <c r="F27" s="118" t="n">
        <f aca="false">D27/7305152</f>
        <v>0.0323783817229265</v>
      </c>
      <c r="G27" s="116" t="n">
        <v>63971</v>
      </c>
    </row>
    <row r="30" customFormat="false" ht="15" hidden="false" customHeight="false" outlineLevel="0" collapsed="false">
      <c r="B30" s="52" t="s">
        <v>432</v>
      </c>
      <c r="C30" s="52"/>
      <c r="D30" s="52"/>
      <c r="E30" s="52"/>
      <c r="F30" s="52"/>
      <c r="G30" s="52"/>
      <c r="H30" s="52"/>
      <c r="I30" s="52"/>
      <c r="J30" s="52"/>
      <c r="K30" s="52"/>
      <c r="L30" s="52"/>
      <c r="M30" s="52"/>
      <c r="N30" s="52"/>
      <c r="O30" s="52"/>
      <c r="P30" s="52"/>
    </row>
    <row r="31" customFormat="false" ht="23.85" hidden="false" customHeight="false" outlineLevel="0" collapsed="false">
      <c r="B31" s="53" t="s">
        <v>33</v>
      </c>
      <c r="C31" s="53" t="s">
        <v>256</v>
      </c>
      <c r="D31" s="53" t="s">
        <v>394</v>
      </c>
      <c r="E31" s="53" t="s">
        <v>433</v>
      </c>
      <c r="F31" s="53" t="s">
        <v>434</v>
      </c>
      <c r="G31" s="53" t="s">
        <v>38</v>
      </c>
    </row>
    <row r="32" customFormat="false" ht="15" hidden="false" customHeight="false" outlineLevel="0" collapsed="false">
      <c r="B32" s="26" t="s">
        <v>298</v>
      </c>
      <c r="C32" s="26" t="s">
        <v>45</v>
      </c>
      <c r="D32" s="119" t="n">
        <v>0.636</v>
      </c>
      <c r="E32" s="119" t="n">
        <v>0.81</v>
      </c>
      <c r="F32" s="120" t="n">
        <v>-0.174</v>
      </c>
      <c r="G32" s="31" t="s">
        <v>435</v>
      </c>
    </row>
    <row r="33" customFormat="false" ht="15" hidden="false" customHeight="false" outlineLevel="0" collapsed="false">
      <c r="B33" s="28" t="s">
        <v>293</v>
      </c>
      <c r="C33" s="28" t="s">
        <v>45</v>
      </c>
      <c r="D33" s="121" t="n">
        <v>0.7065</v>
      </c>
      <c r="E33" s="121" t="n">
        <v>0.81</v>
      </c>
      <c r="F33" s="122" t="n">
        <v>-0.1035</v>
      </c>
      <c r="G33" s="29" t="s">
        <v>435</v>
      </c>
    </row>
    <row r="34" customFormat="false" ht="15" hidden="false" customHeight="false" outlineLevel="0" collapsed="false">
      <c r="B34" s="26" t="s">
        <v>295</v>
      </c>
      <c r="C34" s="26" t="s">
        <v>45</v>
      </c>
      <c r="D34" s="119" t="n">
        <v>0.7702</v>
      </c>
      <c r="E34" s="119" t="n">
        <v>0.81</v>
      </c>
      <c r="F34" s="120" t="n">
        <v>-0.0398000000000001</v>
      </c>
      <c r="G34" s="26" t="s">
        <v>436</v>
      </c>
    </row>
    <row r="35" customFormat="false" ht="15" hidden="false" customHeight="false" outlineLevel="0" collapsed="false">
      <c r="B35" s="28" t="s">
        <v>289</v>
      </c>
      <c r="C35" s="28" t="s">
        <v>45</v>
      </c>
      <c r="D35" s="121" t="n">
        <v>0.7788</v>
      </c>
      <c r="E35" s="121" t="n">
        <v>0.81</v>
      </c>
      <c r="F35" s="122" t="n">
        <v>-0.0312</v>
      </c>
      <c r="G35" s="28" t="s">
        <v>436</v>
      </c>
    </row>
    <row r="36" customFormat="false" ht="15" hidden="false" customHeight="false" outlineLevel="0" collapsed="false">
      <c r="B36" s="26" t="s">
        <v>300</v>
      </c>
      <c r="C36" s="26" t="s">
        <v>45</v>
      </c>
      <c r="D36" s="119" t="n">
        <v>0.873</v>
      </c>
      <c r="E36" s="119" t="n">
        <v>0.81</v>
      </c>
      <c r="F36" s="120" t="n">
        <v>0.0629999999999999</v>
      </c>
      <c r="G36" s="27" t="s">
        <v>437</v>
      </c>
    </row>
    <row r="37" customFormat="false" ht="15" hidden="false" customHeight="false" outlineLevel="0" collapsed="false">
      <c r="B37" s="28" t="s">
        <v>287</v>
      </c>
      <c r="C37" s="28" t="s">
        <v>61</v>
      </c>
      <c r="D37" s="121" t="n">
        <v>0.9022</v>
      </c>
      <c r="E37" s="121" t="n">
        <v>1.05</v>
      </c>
      <c r="F37" s="122" t="n">
        <v>-0.1478</v>
      </c>
      <c r="G37" s="29" t="s">
        <v>435</v>
      </c>
    </row>
    <row r="38" customFormat="false" ht="15" hidden="false" customHeight="false" outlineLevel="0" collapsed="false">
      <c r="B38" s="26" t="s">
        <v>277</v>
      </c>
      <c r="C38" s="26" t="s">
        <v>61</v>
      </c>
      <c r="D38" s="119" t="n">
        <v>0.9914</v>
      </c>
      <c r="E38" s="119" t="n">
        <v>1.05</v>
      </c>
      <c r="F38" s="120" t="n">
        <v>-0.0586000000000001</v>
      </c>
      <c r="G38" s="31" t="s">
        <v>435</v>
      </c>
    </row>
    <row r="39" customFormat="false" ht="15" hidden="false" customHeight="false" outlineLevel="0" collapsed="false">
      <c r="B39" s="28" t="s">
        <v>273</v>
      </c>
      <c r="C39" s="28" t="s">
        <v>61</v>
      </c>
      <c r="D39" s="121" t="n">
        <v>1.0084</v>
      </c>
      <c r="E39" s="121" t="n">
        <v>1.05</v>
      </c>
      <c r="F39" s="122" t="n">
        <v>-0.0416000000000001</v>
      </c>
      <c r="G39" s="28" t="s">
        <v>436</v>
      </c>
    </row>
    <row r="40" customFormat="false" ht="15" hidden="false" customHeight="false" outlineLevel="0" collapsed="false">
      <c r="B40" s="26" t="s">
        <v>279</v>
      </c>
      <c r="C40" s="26" t="s">
        <v>61</v>
      </c>
      <c r="D40" s="119" t="n">
        <v>1.0163</v>
      </c>
      <c r="E40" s="119" t="n">
        <v>1.05</v>
      </c>
      <c r="F40" s="120" t="n">
        <v>-0.0337000000000001</v>
      </c>
      <c r="G40" s="26" t="s">
        <v>436</v>
      </c>
    </row>
    <row r="41" customFormat="false" ht="15" hidden="false" customHeight="false" outlineLevel="0" collapsed="false">
      <c r="B41" s="28" t="s">
        <v>283</v>
      </c>
      <c r="C41" s="28" t="s">
        <v>61</v>
      </c>
      <c r="D41" s="121" t="n">
        <v>1.0176</v>
      </c>
      <c r="E41" s="121" t="n">
        <v>1.05</v>
      </c>
      <c r="F41" s="122" t="n">
        <v>-0.0324</v>
      </c>
      <c r="G41" s="28" t="s">
        <v>436</v>
      </c>
    </row>
    <row r="42" customFormat="false" ht="15" hidden="false" customHeight="false" outlineLevel="0" collapsed="false">
      <c r="B42" s="26" t="s">
        <v>285</v>
      </c>
      <c r="C42" s="26" t="s">
        <v>61</v>
      </c>
      <c r="D42" s="119" t="n">
        <v>1.0325</v>
      </c>
      <c r="E42" s="119" t="n">
        <v>1.05</v>
      </c>
      <c r="F42" s="120" t="n">
        <v>-0.0175000000000001</v>
      </c>
      <c r="G42" s="26" t="s">
        <v>436</v>
      </c>
    </row>
    <row r="43" customFormat="false" ht="15" hidden="false" customHeight="false" outlineLevel="0" collapsed="false">
      <c r="B43" s="28" t="s">
        <v>271</v>
      </c>
      <c r="C43" s="28" t="s">
        <v>40</v>
      </c>
      <c r="D43" s="121" t="n">
        <v>1.2159</v>
      </c>
      <c r="E43" s="121" t="n">
        <v>1.26</v>
      </c>
      <c r="F43" s="122" t="n">
        <v>-0.0441</v>
      </c>
      <c r="G43" s="28" t="s">
        <v>436</v>
      </c>
    </row>
    <row r="44" customFormat="false" ht="15" hidden="false" customHeight="false" outlineLevel="0" collapsed="false">
      <c r="B44" s="26" t="s">
        <v>261</v>
      </c>
      <c r="C44" s="26" t="s">
        <v>40</v>
      </c>
      <c r="D44" s="119" t="n">
        <v>1.2412</v>
      </c>
      <c r="E44" s="119" t="n">
        <v>1.26</v>
      </c>
      <c r="F44" s="120" t="n">
        <v>-0.0187999999999999</v>
      </c>
      <c r="G44" s="26" t="s">
        <v>436</v>
      </c>
    </row>
    <row r="45" customFormat="false" ht="15" hidden="false" customHeight="false" outlineLevel="0" collapsed="false">
      <c r="B45" s="28" t="s">
        <v>266</v>
      </c>
      <c r="C45" s="28" t="s">
        <v>40</v>
      </c>
      <c r="D45" s="121" t="n">
        <v>1.2457</v>
      </c>
      <c r="E45" s="121" t="n">
        <v>1.26</v>
      </c>
      <c r="F45" s="122" t="n">
        <v>-0.0143</v>
      </c>
      <c r="G45" s="28" t="s">
        <v>436</v>
      </c>
    </row>
    <row r="46" customFormat="false" ht="15" hidden="false" customHeight="false" outlineLevel="0" collapsed="false">
      <c r="B46" s="26" t="s">
        <v>281</v>
      </c>
      <c r="C46" s="26" t="s">
        <v>61</v>
      </c>
      <c r="D46" s="119" t="n">
        <v>1.3446</v>
      </c>
      <c r="E46" s="119" t="n">
        <v>1.05</v>
      </c>
      <c r="F46" s="120" t="n">
        <v>0.2946</v>
      </c>
      <c r="G46" s="27" t="s">
        <v>437</v>
      </c>
    </row>
    <row r="47" customFormat="false" ht="15" hidden="false" customHeight="false" outlineLevel="0" collapsed="false">
      <c r="B47" s="28" t="s">
        <v>269</v>
      </c>
      <c r="C47" s="28" t="s">
        <v>40</v>
      </c>
      <c r="D47" s="121" t="n">
        <v>1.3664</v>
      </c>
      <c r="E47" s="121" t="n">
        <v>1.26</v>
      </c>
      <c r="F47" s="122" t="n">
        <v>0.1064</v>
      </c>
      <c r="G47" s="30" t="s">
        <v>437</v>
      </c>
    </row>
    <row r="48" customFormat="false" ht="15" hidden="false" customHeight="false" outlineLevel="0" collapsed="false">
      <c r="B48" s="26" t="s">
        <v>275</v>
      </c>
      <c r="C48" s="26" t="s">
        <v>61</v>
      </c>
      <c r="D48" s="119" t="n">
        <v>1.7316</v>
      </c>
      <c r="E48" s="119" t="n">
        <v>1.05</v>
      </c>
      <c r="F48" s="120" t="n">
        <v>0.6816</v>
      </c>
      <c r="G48" s="27" t="s">
        <v>437</v>
      </c>
    </row>
    <row r="50" customFormat="false" ht="19.5" hidden="false" customHeight="true" outlineLevel="0" collapsed="false">
      <c r="B50" s="123" t="s">
        <v>438</v>
      </c>
      <c r="C50" s="123"/>
      <c r="D50" s="123"/>
      <c r="E50" s="123"/>
      <c r="F50" s="123"/>
      <c r="G50" s="123"/>
    </row>
    <row r="51" customFormat="false" ht="39.75" hidden="false" customHeight="true" outlineLevel="0" collapsed="false">
      <c r="B51" s="124" t="s">
        <v>439</v>
      </c>
      <c r="C51" s="124"/>
      <c r="D51" s="124"/>
      <c r="E51" s="124"/>
      <c r="F51" s="124"/>
      <c r="G51" s="124"/>
    </row>
    <row r="53" customFormat="false" ht="19.5" hidden="false" customHeight="true" outlineLevel="0" collapsed="false">
      <c r="B53" s="123" t="s">
        <v>440</v>
      </c>
      <c r="C53" s="123"/>
      <c r="D53" s="123"/>
      <c r="E53" s="123"/>
      <c r="F53" s="123"/>
      <c r="G53" s="123"/>
    </row>
    <row r="54" customFormat="false" ht="39.75" hidden="false" customHeight="true" outlineLevel="0" collapsed="false">
      <c r="B54" s="124" t="s">
        <v>441</v>
      </c>
      <c r="C54" s="124"/>
      <c r="D54" s="124"/>
      <c r="E54" s="124"/>
      <c r="F54" s="124"/>
      <c r="G54" s="124"/>
    </row>
    <row r="56" customFormat="false" ht="19.5" hidden="false" customHeight="true" outlineLevel="0" collapsed="false">
      <c r="B56" s="123" t="s">
        <v>442</v>
      </c>
      <c r="C56" s="123"/>
      <c r="D56" s="123"/>
      <c r="E56" s="123"/>
      <c r="F56" s="123"/>
      <c r="G56" s="123"/>
    </row>
    <row r="57" customFormat="false" ht="39.75" hidden="false" customHeight="true" outlineLevel="0" collapsed="false">
      <c r="B57" s="124" t="s">
        <v>443</v>
      </c>
      <c r="C57" s="124"/>
      <c r="D57" s="124"/>
      <c r="E57" s="124"/>
      <c r="F57" s="124"/>
      <c r="G57" s="124"/>
    </row>
    <row r="59" customFormat="false" ht="19.5" hidden="false" customHeight="true" outlineLevel="0" collapsed="false">
      <c r="B59" s="123" t="s">
        <v>444</v>
      </c>
      <c r="C59" s="123"/>
      <c r="D59" s="123"/>
      <c r="E59" s="123"/>
      <c r="F59" s="123"/>
      <c r="G59" s="123"/>
    </row>
    <row r="60" customFormat="false" ht="39.75" hidden="false" customHeight="true" outlineLevel="0" collapsed="false">
      <c r="B60" s="124" t="s">
        <v>445</v>
      </c>
      <c r="C60" s="124"/>
      <c r="D60" s="124"/>
      <c r="E60" s="124"/>
      <c r="F60" s="124"/>
      <c r="G60" s="124"/>
    </row>
  </sheetData>
  <mergeCells count="12">
    <mergeCell ref="B1:P1"/>
    <mergeCell ref="B3:P3"/>
    <mergeCell ref="B16:P16"/>
    <mergeCell ref="B30:P30"/>
    <mergeCell ref="B50:G50"/>
    <mergeCell ref="B51:G51"/>
    <mergeCell ref="B53:G53"/>
    <mergeCell ref="B54:G54"/>
    <mergeCell ref="B56:G56"/>
    <mergeCell ref="B57:G57"/>
    <mergeCell ref="B59:G59"/>
    <mergeCell ref="B60:G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2026-02-28T08:56:21Z</dcterms:created>
  <dc:creator>openpyxl</dc:creator>
  <dc:description/>
  <dc:language>en-US</dc:language>
  <cp:lastModifiedBy/>
  <dcterms:modified xsi:type="dcterms:W3CDTF">2026-02-28T08:56:37Z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